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Janus I5\Desktop\Plantillas\automatico\"/>
    </mc:Choice>
  </mc:AlternateContent>
  <xr:revisionPtr revIDLastSave="0" documentId="13_ncr:1_{8BC64F59-E780-49A9-8CB3-D73495F595E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os" sheetId="1" r:id="rId1"/>
    <sheet name="Dashboard General" sheetId="2" r:id="rId2"/>
    <sheet name="Detalle Asesores" sheetId="3" r:id="rId3"/>
    <sheet name="Sanin" sheetId="4" r:id="rId4"/>
    <sheet name="Casa Luker" sheetId="5" r:id="rId5"/>
    <sheet name="Colombina" sheetId="6" r:id="rId6"/>
    <sheet name="Tecnoquimicas" sheetId="7" r:id="rId7"/>
    <sheet name="Clientes Especiales" sheetId="8" r:id="rId8"/>
    <sheet name="Brinsa" sheetId="9" r:id="rId9"/>
    <sheet name="Colombina Helados" sheetId="10" r:id="rId10"/>
    <sheet name="Alimentos Polar" sheetId="11" r:id="rId11"/>
    <sheet name="Ranking Asesores" sheetId="12" r:id="rId12"/>
  </sheets>
  <externalReferences>
    <externalReference r:id="rId1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2" i="1"/>
  <c r="D22" i="2" l="1"/>
  <c r="D21" i="2"/>
  <c r="D20" i="2"/>
  <c r="D19" i="2"/>
  <c r="D18" i="2"/>
  <c r="D26" i="2" l="1"/>
  <c r="H22" i="2"/>
  <c r="G22" i="2"/>
  <c r="I22" i="2" s="1"/>
  <c r="M49" i="1"/>
  <c r="E22" i="2"/>
  <c r="B7" i="10"/>
  <c r="F12" i="4"/>
  <c r="B29" i="4"/>
  <c r="D22" i="4"/>
  <c r="B7" i="4"/>
  <c r="E12" i="3"/>
  <c r="D25" i="4"/>
  <c r="F12" i="6"/>
  <c r="E13" i="1"/>
  <c r="E19" i="6" s="1"/>
  <c r="E26" i="3"/>
  <c r="E18" i="1"/>
  <c r="I24" i="6" s="1"/>
  <c r="D25" i="6"/>
  <c r="D26" i="5"/>
  <c r="E21" i="1"/>
  <c r="E19" i="5" s="1"/>
  <c r="E17" i="3"/>
  <c r="D21" i="5"/>
  <c r="F12" i="5"/>
  <c r="E20" i="3"/>
  <c r="B29" i="5"/>
  <c r="B29" i="7"/>
  <c r="J28" i="1"/>
  <c r="E21" i="2"/>
  <c r="E38" i="3"/>
  <c r="D24" i="7"/>
  <c r="E35" i="1"/>
  <c r="F40" i="3" s="1"/>
  <c r="D20" i="8"/>
  <c r="F12" i="9"/>
  <c r="E49" i="3"/>
  <c r="E43" i="1"/>
  <c r="E24" i="9" s="1"/>
  <c r="D25" i="9"/>
  <c r="E56" i="3"/>
  <c r="F7" i="11"/>
  <c r="E58" i="3"/>
  <c r="E48" i="1"/>
  <c r="F59" i="3" s="1"/>
  <c r="G50" i="1"/>
  <c r="G61" i="3" s="1"/>
  <c r="G22" i="11"/>
  <c r="F22" i="11"/>
  <c r="C22" i="11"/>
  <c r="G21" i="11"/>
  <c r="F21" i="11"/>
  <c r="C21" i="11"/>
  <c r="B21" i="11"/>
  <c r="G20" i="11"/>
  <c r="F20" i="11"/>
  <c r="C20" i="11"/>
  <c r="B20" i="11"/>
  <c r="G19" i="11"/>
  <c r="F19" i="11"/>
  <c r="C19" i="11"/>
  <c r="B19" i="11"/>
  <c r="G18" i="11"/>
  <c r="F18" i="11"/>
  <c r="C18" i="11"/>
  <c r="B18" i="11"/>
  <c r="H12" i="11"/>
  <c r="B12" i="11"/>
  <c r="H7" i="11"/>
  <c r="D7" i="11"/>
  <c r="G20" i="10"/>
  <c r="F20" i="10"/>
  <c r="C20" i="10"/>
  <c r="G19" i="10"/>
  <c r="F19" i="10"/>
  <c r="D19" i="10"/>
  <c r="C19" i="10"/>
  <c r="B19" i="10"/>
  <c r="G18" i="10"/>
  <c r="F18" i="10"/>
  <c r="C18" i="10"/>
  <c r="B18" i="10"/>
  <c r="H12" i="10"/>
  <c r="B12" i="10"/>
  <c r="H7" i="10"/>
  <c r="D7" i="10"/>
  <c r="G26" i="9"/>
  <c r="F26" i="9"/>
  <c r="C26" i="9"/>
  <c r="G25" i="9"/>
  <c r="F25" i="9"/>
  <c r="C25" i="9"/>
  <c r="B25" i="9"/>
  <c r="G24" i="9"/>
  <c r="F24" i="9"/>
  <c r="D24" i="9"/>
  <c r="C24" i="9"/>
  <c r="B24" i="9"/>
  <c r="G23" i="9"/>
  <c r="F23" i="9"/>
  <c r="D23" i="9"/>
  <c r="C23" i="9"/>
  <c r="B23" i="9"/>
  <c r="G22" i="9"/>
  <c r="F22" i="9"/>
  <c r="D22" i="9"/>
  <c r="C22" i="9"/>
  <c r="B22" i="9"/>
  <c r="G21" i="9"/>
  <c r="F21" i="9"/>
  <c r="D21" i="9"/>
  <c r="C21" i="9"/>
  <c r="B21" i="9"/>
  <c r="G20" i="9"/>
  <c r="F20" i="9"/>
  <c r="D20" i="9"/>
  <c r="C20" i="9"/>
  <c r="B20" i="9"/>
  <c r="G19" i="9"/>
  <c r="F19" i="9"/>
  <c r="D19" i="9"/>
  <c r="C19" i="9"/>
  <c r="B19" i="9"/>
  <c r="G18" i="9"/>
  <c r="F18" i="9"/>
  <c r="C18" i="9"/>
  <c r="B18" i="9"/>
  <c r="H12" i="9"/>
  <c r="B12" i="9"/>
  <c r="H7" i="9"/>
  <c r="D7" i="9"/>
  <c r="G20" i="8"/>
  <c r="F20" i="8"/>
  <c r="C20" i="8"/>
  <c r="I19" i="8"/>
  <c r="H19" i="8"/>
  <c r="G19" i="8"/>
  <c r="F19" i="8"/>
  <c r="E19" i="8"/>
  <c r="C19" i="8"/>
  <c r="B19" i="8"/>
  <c r="G18" i="8"/>
  <c r="F18" i="8"/>
  <c r="C18" i="8"/>
  <c r="B18" i="8"/>
  <c r="H12" i="8"/>
  <c r="B12" i="8"/>
  <c r="H7" i="8"/>
  <c r="D7" i="8"/>
  <c r="B31" i="7"/>
  <c r="G26" i="7"/>
  <c r="F26" i="7"/>
  <c r="C26" i="7"/>
  <c r="G25" i="7"/>
  <c r="F25" i="7"/>
  <c r="C25" i="7"/>
  <c r="B25" i="7"/>
  <c r="G24" i="7"/>
  <c r="F24" i="7"/>
  <c r="C24" i="7"/>
  <c r="B24" i="7"/>
  <c r="G23" i="7"/>
  <c r="F23" i="7"/>
  <c r="C23" i="7"/>
  <c r="B23" i="7"/>
  <c r="G22" i="7"/>
  <c r="F22" i="7"/>
  <c r="D22" i="7"/>
  <c r="C22" i="7"/>
  <c r="B22" i="7"/>
  <c r="G21" i="7"/>
  <c r="F21" i="7"/>
  <c r="C21" i="7"/>
  <c r="B21" i="7"/>
  <c r="G20" i="7"/>
  <c r="F20" i="7"/>
  <c r="D20" i="7"/>
  <c r="C20" i="7"/>
  <c r="B20" i="7"/>
  <c r="G19" i="7"/>
  <c r="F19" i="7"/>
  <c r="C19" i="7"/>
  <c r="B19" i="7"/>
  <c r="G18" i="7"/>
  <c r="F18" i="7"/>
  <c r="D18" i="7"/>
  <c r="C18" i="7"/>
  <c r="B18" i="7"/>
  <c r="H12" i="7"/>
  <c r="F12" i="7"/>
  <c r="B12" i="7"/>
  <c r="H7" i="7"/>
  <c r="D7" i="7"/>
  <c r="G26" i="6"/>
  <c r="F26" i="6"/>
  <c r="I26" i="6" s="1"/>
  <c r="C26" i="6"/>
  <c r="G25" i="6"/>
  <c r="F25" i="6"/>
  <c r="C25" i="6"/>
  <c r="B25" i="6"/>
  <c r="G24" i="6"/>
  <c r="F24" i="6"/>
  <c r="D24" i="6"/>
  <c r="C24" i="6"/>
  <c r="B24" i="6"/>
  <c r="G23" i="6"/>
  <c r="F23" i="6"/>
  <c r="D23" i="6"/>
  <c r="C23" i="6"/>
  <c r="B23" i="6"/>
  <c r="G22" i="6"/>
  <c r="F22" i="6"/>
  <c r="D22" i="6"/>
  <c r="C22" i="6"/>
  <c r="B22" i="6"/>
  <c r="G21" i="6"/>
  <c r="F21" i="6"/>
  <c r="D21" i="6"/>
  <c r="C21" i="6"/>
  <c r="B21" i="6"/>
  <c r="G20" i="6"/>
  <c r="F20" i="6"/>
  <c r="C20" i="6"/>
  <c r="B20" i="6"/>
  <c r="G19" i="6"/>
  <c r="F19" i="6"/>
  <c r="C19" i="6"/>
  <c r="B19" i="6"/>
  <c r="G18" i="6"/>
  <c r="F18" i="6"/>
  <c r="D18" i="6"/>
  <c r="C18" i="6"/>
  <c r="B18" i="6"/>
  <c r="H12" i="6"/>
  <c r="B12" i="6"/>
  <c r="H7" i="6"/>
  <c r="D7" i="6"/>
  <c r="G26" i="5"/>
  <c r="F26" i="5"/>
  <c r="I26" i="5" s="1"/>
  <c r="C26" i="5"/>
  <c r="G25" i="5"/>
  <c r="F25" i="5"/>
  <c r="D25" i="5"/>
  <c r="C25" i="5"/>
  <c r="B25" i="5"/>
  <c r="G24" i="5"/>
  <c r="F24" i="5"/>
  <c r="C24" i="5"/>
  <c r="B24" i="5"/>
  <c r="G23" i="5"/>
  <c r="F23" i="5"/>
  <c r="C23" i="5"/>
  <c r="B23" i="5"/>
  <c r="G22" i="5"/>
  <c r="F22" i="5"/>
  <c r="C22" i="5"/>
  <c r="B22" i="5"/>
  <c r="G21" i="5"/>
  <c r="F21" i="5"/>
  <c r="C21" i="5"/>
  <c r="B21" i="5"/>
  <c r="G20" i="5"/>
  <c r="F20" i="5"/>
  <c r="C20" i="5"/>
  <c r="B20" i="5"/>
  <c r="G19" i="5"/>
  <c r="F19" i="5"/>
  <c r="D19" i="5"/>
  <c r="C19" i="5"/>
  <c r="B19" i="5"/>
  <c r="G18" i="5"/>
  <c r="F18" i="5"/>
  <c r="D18" i="5"/>
  <c r="C18" i="5"/>
  <c r="B18" i="5"/>
  <c r="H12" i="5"/>
  <c r="B12" i="5"/>
  <c r="H7" i="5"/>
  <c r="F7" i="5"/>
  <c r="D7" i="5"/>
  <c r="G26" i="4"/>
  <c r="F26" i="4"/>
  <c r="C26" i="4"/>
  <c r="G25" i="4"/>
  <c r="F25" i="4"/>
  <c r="C25" i="4"/>
  <c r="B25" i="4"/>
  <c r="G24" i="4"/>
  <c r="F24" i="4"/>
  <c r="C24" i="4"/>
  <c r="B24" i="4"/>
  <c r="G23" i="4"/>
  <c r="F23" i="4"/>
  <c r="C23" i="4"/>
  <c r="B23" i="4"/>
  <c r="G22" i="4"/>
  <c r="F22" i="4"/>
  <c r="C22" i="4"/>
  <c r="B22" i="4"/>
  <c r="G21" i="4"/>
  <c r="F21" i="4"/>
  <c r="D21" i="4"/>
  <c r="C21" i="4"/>
  <c r="B21" i="4"/>
  <c r="G20" i="4"/>
  <c r="F20" i="4"/>
  <c r="D20" i="4"/>
  <c r="C20" i="4"/>
  <c r="B20" i="4"/>
  <c r="G19" i="4"/>
  <c r="F19" i="4"/>
  <c r="D19" i="4"/>
  <c r="C19" i="4"/>
  <c r="B19" i="4"/>
  <c r="G18" i="4"/>
  <c r="F18" i="4"/>
  <c r="D18" i="4"/>
  <c r="C18" i="4"/>
  <c r="B18" i="4"/>
  <c r="H12" i="4"/>
  <c r="B12" i="4"/>
  <c r="H7" i="4"/>
  <c r="D7" i="4"/>
  <c r="H59" i="3"/>
  <c r="G59" i="3"/>
  <c r="E59" i="3"/>
  <c r="D59" i="3"/>
  <c r="C59" i="3"/>
  <c r="H58" i="3"/>
  <c r="G58" i="3"/>
  <c r="D58" i="3"/>
  <c r="C58" i="3"/>
  <c r="H57" i="3"/>
  <c r="G57" i="3"/>
  <c r="E57" i="3"/>
  <c r="D57" i="3"/>
  <c r="C57" i="3"/>
  <c r="H56" i="3"/>
  <c r="G56" i="3"/>
  <c r="D56" i="3"/>
  <c r="C56" i="3"/>
  <c r="H54" i="3"/>
  <c r="G54" i="3"/>
  <c r="E54" i="3"/>
  <c r="D54" i="3"/>
  <c r="C54" i="3"/>
  <c r="H53" i="3"/>
  <c r="G53" i="3"/>
  <c r="D53" i="3"/>
  <c r="C53" i="3"/>
  <c r="H51" i="3"/>
  <c r="G51" i="3"/>
  <c r="D51" i="3"/>
  <c r="C51" i="3"/>
  <c r="H50" i="3"/>
  <c r="G50" i="3"/>
  <c r="E50" i="3"/>
  <c r="D50" i="3"/>
  <c r="C50" i="3"/>
  <c r="H49" i="3"/>
  <c r="G49" i="3"/>
  <c r="D49" i="3"/>
  <c r="C49" i="3"/>
  <c r="H48" i="3"/>
  <c r="G48" i="3"/>
  <c r="E48" i="3"/>
  <c r="D48" i="3"/>
  <c r="C48" i="3"/>
  <c r="H47" i="3"/>
  <c r="G47" i="3"/>
  <c r="E47" i="3"/>
  <c r="D47" i="3"/>
  <c r="C47" i="3"/>
  <c r="H46" i="3"/>
  <c r="G46" i="3"/>
  <c r="E46" i="3"/>
  <c r="D46" i="3"/>
  <c r="C46" i="3"/>
  <c r="H45" i="3"/>
  <c r="G45" i="3"/>
  <c r="E45" i="3"/>
  <c r="D45" i="3"/>
  <c r="C45" i="3"/>
  <c r="H44" i="3"/>
  <c r="G44" i="3"/>
  <c r="D44" i="3"/>
  <c r="C44" i="3"/>
  <c r="H42" i="3"/>
  <c r="G42" i="3"/>
  <c r="D42" i="3"/>
  <c r="C42" i="3"/>
  <c r="H40" i="3"/>
  <c r="G40" i="3"/>
  <c r="D40" i="3"/>
  <c r="C40" i="3"/>
  <c r="H39" i="3"/>
  <c r="G39" i="3"/>
  <c r="D39" i="3"/>
  <c r="C39" i="3"/>
  <c r="H38" i="3"/>
  <c r="G38" i="3"/>
  <c r="D38" i="3"/>
  <c r="C38" i="3"/>
  <c r="H37" i="3"/>
  <c r="G37" i="3"/>
  <c r="E37" i="3"/>
  <c r="D37" i="3"/>
  <c r="C37" i="3"/>
  <c r="H36" i="3"/>
  <c r="G36" i="3"/>
  <c r="D36" i="3"/>
  <c r="C36" i="3"/>
  <c r="H35" i="3"/>
  <c r="G35" i="3"/>
  <c r="E35" i="3"/>
  <c r="D35" i="3"/>
  <c r="C35" i="3"/>
  <c r="H34" i="3"/>
  <c r="G34" i="3"/>
  <c r="E34" i="3"/>
  <c r="D34" i="3"/>
  <c r="C34" i="3"/>
  <c r="H33" i="3"/>
  <c r="G33" i="3"/>
  <c r="E33" i="3"/>
  <c r="D33" i="3"/>
  <c r="C33" i="3"/>
  <c r="H31" i="3"/>
  <c r="G31" i="3"/>
  <c r="E31" i="3"/>
  <c r="D31" i="3"/>
  <c r="C31" i="3"/>
  <c r="H30" i="3"/>
  <c r="G30" i="3"/>
  <c r="E30" i="3"/>
  <c r="D30" i="3"/>
  <c r="C30" i="3"/>
  <c r="H29" i="3"/>
  <c r="G29" i="3"/>
  <c r="E29" i="3"/>
  <c r="D29" i="3"/>
  <c r="C29" i="3"/>
  <c r="H28" i="3"/>
  <c r="G28" i="3"/>
  <c r="E28" i="3"/>
  <c r="D28" i="3"/>
  <c r="C28" i="3"/>
  <c r="H27" i="3"/>
  <c r="G27" i="3"/>
  <c r="E27" i="3"/>
  <c r="D27" i="3"/>
  <c r="C27" i="3"/>
  <c r="H26" i="3"/>
  <c r="G26" i="3"/>
  <c r="D26" i="3"/>
  <c r="C26" i="3"/>
  <c r="H25" i="3"/>
  <c r="G25" i="3"/>
  <c r="D25" i="3"/>
  <c r="C25" i="3"/>
  <c r="H24" i="3"/>
  <c r="G24" i="3"/>
  <c r="D24" i="3"/>
  <c r="C24" i="3"/>
  <c r="H22" i="3"/>
  <c r="G22" i="3"/>
  <c r="E22" i="3"/>
  <c r="D22" i="3"/>
  <c r="C22" i="3"/>
  <c r="H21" i="3"/>
  <c r="G21" i="3"/>
  <c r="D21" i="3"/>
  <c r="C21" i="3"/>
  <c r="H20" i="3"/>
  <c r="G20" i="3"/>
  <c r="D20" i="3"/>
  <c r="C20" i="3"/>
  <c r="H19" i="3"/>
  <c r="G19" i="3"/>
  <c r="D19" i="3"/>
  <c r="C19" i="3"/>
  <c r="H18" i="3"/>
  <c r="G18" i="3"/>
  <c r="E18" i="3"/>
  <c r="D18" i="3"/>
  <c r="C18" i="3"/>
  <c r="H17" i="3"/>
  <c r="G17" i="3"/>
  <c r="D17" i="3"/>
  <c r="C17" i="3"/>
  <c r="H16" i="3"/>
  <c r="G16" i="3"/>
  <c r="E16" i="3"/>
  <c r="D16" i="3"/>
  <c r="C16" i="3"/>
  <c r="H15" i="3"/>
  <c r="G15" i="3"/>
  <c r="D15" i="3"/>
  <c r="C15" i="3"/>
  <c r="H13" i="3"/>
  <c r="G13" i="3"/>
  <c r="D13" i="3"/>
  <c r="C13" i="3"/>
  <c r="H12" i="3"/>
  <c r="G12" i="3"/>
  <c r="D12" i="3"/>
  <c r="C12" i="3"/>
  <c r="H11" i="3"/>
  <c r="G11" i="3"/>
  <c r="D11" i="3"/>
  <c r="C11" i="3"/>
  <c r="H10" i="3"/>
  <c r="G10" i="3"/>
  <c r="E10" i="3"/>
  <c r="D10" i="3"/>
  <c r="C10" i="3"/>
  <c r="H9" i="3"/>
  <c r="G9" i="3"/>
  <c r="D9" i="3"/>
  <c r="C9" i="3"/>
  <c r="H8" i="3"/>
  <c r="G8" i="3"/>
  <c r="E8" i="3"/>
  <c r="D8" i="3"/>
  <c r="C8" i="3"/>
  <c r="H7" i="3"/>
  <c r="G7" i="3"/>
  <c r="E7" i="3"/>
  <c r="D7" i="3"/>
  <c r="C7" i="3"/>
  <c r="H6" i="3"/>
  <c r="G6" i="3"/>
  <c r="E6" i="3"/>
  <c r="D6" i="3"/>
  <c r="C6" i="3"/>
  <c r="C26" i="2"/>
  <c r="H25" i="2"/>
  <c r="G25" i="2"/>
  <c r="D25" i="2"/>
  <c r="H24" i="2"/>
  <c r="G24" i="2"/>
  <c r="D24" i="2"/>
  <c r="H23" i="2"/>
  <c r="G23" i="2"/>
  <c r="D23" i="2"/>
  <c r="H21" i="2"/>
  <c r="G21" i="2"/>
  <c r="H20" i="2"/>
  <c r="G20" i="2"/>
  <c r="I20" i="2" s="1"/>
  <c r="H19" i="2"/>
  <c r="G19" i="2"/>
  <c r="E19" i="2"/>
  <c r="H18" i="2"/>
  <c r="G18" i="2"/>
  <c r="B12" i="2"/>
  <c r="H7" i="2"/>
  <c r="D7" i="2"/>
  <c r="F50" i="1"/>
  <c r="C50" i="1"/>
  <c r="D61" i="3" s="1"/>
  <c r="I48" i="1"/>
  <c r="H21" i="11" s="1"/>
  <c r="H48" i="1"/>
  <c r="J59" i="3" s="1"/>
  <c r="I47" i="1"/>
  <c r="H20" i="11" s="1"/>
  <c r="H47" i="1"/>
  <c r="J58" i="3" s="1"/>
  <c r="I46" i="1"/>
  <c r="I57" i="3" s="1"/>
  <c r="H46" i="1"/>
  <c r="J57" i="3" s="1"/>
  <c r="I45" i="1"/>
  <c r="H18" i="11" s="1"/>
  <c r="H45" i="1"/>
  <c r="E45" i="1"/>
  <c r="I44" i="1"/>
  <c r="H25" i="9" s="1"/>
  <c r="H44" i="1"/>
  <c r="J51" i="3" s="1"/>
  <c r="I43" i="1"/>
  <c r="I50" i="3" s="1"/>
  <c r="H43" i="1"/>
  <c r="J50" i="3" s="1"/>
  <c r="I42" i="1"/>
  <c r="I49" i="3" s="1"/>
  <c r="H42" i="1"/>
  <c r="J49" i="3" s="1"/>
  <c r="E42" i="1"/>
  <c r="F49" i="3" s="1"/>
  <c r="I41" i="1"/>
  <c r="H22" i="9" s="1"/>
  <c r="H41" i="1"/>
  <c r="J48" i="3" s="1"/>
  <c r="E41" i="1"/>
  <c r="I22" i="9" s="1"/>
  <c r="I40" i="1"/>
  <c r="I47" i="3" s="1"/>
  <c r="H40" i="1"/>
  <c r="J47" i="3" s="1"/>
  <c r="E40" i="1"/>
  <c r="E21" i="9" s="1"/>
  <c r="I39" i="1"/>
  <c r="I46" i="3" s="1"/>
  <c r="H39" i="1"/>
  <c r="J46" i="3" s="1"/>
  <c r="E39" i="1"/>
  <c r="E20" i="9" s="1"/>
  <c r="I38" i="1"/>
  <c r="H19" i="9" s="1"/>
  <c r="H38" i="1"/>
  <c r="J45" i="3" s="1"/>
  <c r="E38" i="1"/>
  <c r="I19" i="9" s="1"/>
  <c r="I37" i="1"/>
  <c r="I44" i="3" s="1"/>
  <c r="H37" i="1"/>
  <c r="J44" i="3" s="1"/>
  <c r="E37" i="1"/>
  <c r="E18" i="9" s="1"/>
  <c r="I36" i="1"/>
  <c r="I42" i="3" s="1"/>
  <c r="H36" i="1"/>
  <c r="B24" i="8" s="1"/>
  <c r="I35" i="1"/>
  <c r="H25" i="7" s="1"/>
  <c r="H35" i="1"/>
  <c r="J40" i="3" s="1"/>
  <c r="I34" i="1"/>
  <c r="H24" i="7" s="1"/>
  <c r="H34" i="1"/>
  <c r="J39" i="3" s="1"/>
  <c r="E34" i="1"/>
  <c r="I24" i="7" s="1"/>
  <c r="I33" i="1"/>
  <c r="I38" i="3" s="1"/>
  <c r="H33" i="1"/>
  <c r="J38" i="3" s="1"/>
  <c r="I32" i="1"/>
  <c r="I37" i="3" s="1"/>
  <c r="H32" i="1"/>
  <c r="J37" i="3" s="1"/>
  <c r="E32" i="1"/>
  <c r="E22" i="7" s="1"/>
  <c r="I31" i="1"/>
  <c r="H21" i="7" s="1"/>
  <c r="H31" i="1"/>
  <c r="J36" i="3" s="1"/>
  <c r="E31" i="1"/>
  <c r="I21" i="7" s="1"/>
  <c r="I30" i="1"/>
  <c r="I35" i="3" s="1"/>
  <c r="H30" i="1"/>
  <c r="J35" i="3" s="1"/>
  <c r="E30" i="1"/>
  <c r="I20" i="7" s="1"/>
  <c r="I29" i="1"/>
  <c r="H19" i="7" s="1"/>
  <c r="H29" i="1"/>
  <c r="J34" i="3" s="1"/>
  <c r="E29" i="1"/>
  <c r="F34" i="3" s="1"/>
  <c r="I28" i="1"/>
  <c r="I33" i="3" s="1"/>
  <c r="H28" i="1"/>
  <c r="J33" i="3" s="1"/>
  <c r="E28" i="1"/>
  <c r="F33" i="3" s="1"/>
  <c r="I27" i="1"/>
  <c r="I22" i="3" s="1"/>
  <c r="H27" i="1"/>
  <c r="J22" i="3" s="1"/>
  <c r="E27" i="1"/>
  <c r="E25" i="5" s="1"/>
  <c r="I26" i="1"/>
  <c r="I21" i="3" s="1"/>
  <c r="H26" i="1"/>
  <c r="J21" i="3" s="1"/>
  <c r="E26" i="1"/>
  <c r="F21" i="3" s="1"/>
  <c r="I25" i="1"/>
  <c r="H23" i="5" s="1"/>
  <c r="H25" i="1"/>
  <c r="J20" i="3" s="1"/>
  <c r="I24" i="1"/>
  <c r="I19" i="3" s="1"/>
  <c r="H24" i="1"/>
  <c r="J19" i="3" s="1"/>
  <c r="I23" i="1"/>
  <c r="I18" i="3" s="1"/>
  <c r="H23" i="1"/>
  <c r="J18" i="3" s="1"/>
  <c r="E23" i="1"/>
  <c r="I21" i="5" s="1"/>
  <c r="I22" i="1"/>
  <c r="H20" i="5" s="1"/>
  <c r="H22" i="1"/>
  <c r="J17" i="3" s="1"/>
  <c r="E22" i="1"/>
  <c r="I20" i="5" s="1"/>
  <c r="I21" i="1"/>
  <c r="I16" i="3" s="1"/>
  <c r="H21" i="1"/>
  <c r="J16" i="3" s="1"/>
  <c r="I20" i="1"/>
  <c r="I15" i="3" s="1"/>
  <c r="H20" i="1"/>
  <c r="E20" i="1"/>
  <c r="I18" i="5" s="1"/>
  <c r="I19" i="1"/>
  <c r="H25" i="6" s="1"/>
  <c r="H19" i="1"/>
  <c r="J31" i="3" s="1"/>
  <c r="E19" i="1"/>
  <c r="E25" i="6" s="1"/>
  <c r="I18" i="1"/>
  <c r="H24" i="6" s="1"/>
  <c r="H18" i="1"/>
  <c r="J30" i="3" s="1"/>
  <c r="I17" i="1"/>
  <c r="I29" i="3" s="1"/>
  <c r="H17" i="1"/>
  <c r="J29" i="3" s="1"/>
  <c r="E17" i="1"/>
  <c r="I23" i="6" s="1"/>
  <c r="I16" i="1"/>
  <c r="H22" i="6" s="1"/>
  <c r="H16" i="1"/>
  <c r="J28" i="3" s="1"/>
  <c r="E16" i="1"/>
  <c r="F28" i="3" s="1"/>
  <c r="I15" i="1"/>
  <c r="I27" i="3" s="1"/>
  <c r="H15" i="1"/>
  <c r="J27" i="3" s="1"/>
  <c r="E15" i="1"/>
  <c r="I21" i="6" s="1"/>
  <c r="I14" i="1"/>
  <c r="H20" i="6" s="1"/>
  <c r="H14" i="1"/>
  <c r="I13" i="1"/>
  <c r="H19" i="6" s="1"/>
  <c r="H13" i="1"/>
  <c r="J25" i="3" s="1"/>
  <c r="I12" i="1"/>
  <c r="H18" i="6" s="1"/>
  <c r="H12" i="1"/>
  <c r="I11" i="1"/>
  <c r="I13" i="3" s="1"/>
  <c r="H11" i="1"/>
  <c r="J13" i="3" s="1"/>
  <c r="E11" i="1"/>
  <c r="F13" i="3" s="1"/>
  <c r="I10" i="1"/>
  <c r="I12" i="3" s="1"/>
  <c r="H10" i="1"/>
  <c r="J12" i="3" s="1"/>
  <c r="I9" i="1"/>
  <c r="H23" i="4" s="1"/>
  <c r="H9" i="1"/>
  <c r="J11" i="3" s="1"/>
  <c r="I8" i="1"/>
  <c r="I10" i="3" s="1"/>
  <c r="H8" i="1"/>
  <c r="J10" i="3" s="1"/>
  <c r="E8" i="1"/>
  <c r="E22" i="4" s="1"/>
  <c r="I7" i="1"/>
  <c r="I9" i="3" s="1"/>
  <c r="H7" i="1"/>
  <c r="J9" i="3" s="1"/>
  <c r="E7" i="1"/>
  <c r="I21" i="4" s="1"/>
  <c r="I6" i="1"/>
  <c r="H20" i="4" s="1"/>
  <c r="H6" i="1"/>
  <c r="J8" i="3" s="1"/>
  <c r="I5" i="1"/>
  <c r="I7" i="3" s="1"/>
  <c r="H5" i="1"/>
  <c r="J7" i="3" s="1"/>
  <c r="E5" i="1"/>
  <c r="I19" i="4" s="1"/>
  <c r="I4" i="1"/>
  <c r="I6" i="3" s="1"/>
  <c r="H4" i="1"/>
  <c r="J6" i="3" s="1"/>
  <c r="E4" i="1"/>
  <c r="I18" i="4" s="1"/>
  <c r="I3" i="1"/>
  <c r="I54" i="3" s="1"/>
  <c r="H3" i="1"/>
  <c r="J54" i="3" s="1"/>
  <c r="E3" i="1"/>
  <c r="I2" i="1"/>
  <c r="H18" i="10" s="1"/>
  <c r="H2" i="1"/>
  <c r="H50" i="1" l="1"/>
  <c r="H14" i="3"/>
  <c r="I24" i="2"/>
  <c r="I26" i="7"/>
  <c r="I26" i="9"/>
  <c r="H52" i="3"/>
  <c r="I22" i="11"/>
  <c r="H43" i="3"/>
  <c r="D20" i="10"/>
  <c r="E20" i="10" s="1"/>
  <c r="B23" i="8"/>
  <c r="B7" i="11"/>
  <c r="D21" i="11"/>
  <c r="B25" i="8"/>
  <c r="B7" i="6"/>
  <c r="F7" i="8"/>
  <c r="D26" i="9"/>
  <c r="E26" i="9" s="1"/>
  <c r="J45" i="1"/>
  <c r="E23" i="2"/>
  <c r="F23" i="2" s="1"/>
  <c r="E13" i="3"/>
  <c r="E40" i="3"/>
  <c r="D25" i="7"/>
  <c r="E24" i="1"/>
  <c r="E22" i="5" s="1"/>
  <c r="B7" i="8"/>
  <c r="B31" i="5"/>
  <c r="J37" i="1"/>
  <c r="D23" i="4"/>
  <c r="D22" i="5"/>
  <c r="D26" i="6"/>
  <c r="E26" i="6" s="1"/>
  <c r="D19" i="11"/>
  <c r="D26" i="4"/>
  <c r="E26" i="4" s="1"/>
  <c r="F7" i="6"/>
  <c r="F7" i="9"/>
  <c r="D22" i="11"/>
  <c r="E22" i="11" s="1"/>
  <c r="J4" i="1"/>
  <c r="F12" i="8"/>
  <c r="E9" i="1"/>
  <c r="F11" i="3" s="1"/>
  <c r="E36" i="1"/>
  <c r="E18" i="8" s="1"/>
  <c r="E47" i="1"/>
  <c r="I20" i="11" s="1"/>
  <c r="E24" i="3"/>
  <c r="E12" i="1"/>
  <c r="I18" i="6" s="1"/>
  <c r="E20" i="2"/>
  <c r="F20" i="2" s="1"/>
  <c r="E46" i="1"/>
  <c r="I19" i="11" s="1"/>
  <c r="D20" i="5"/>
  <c r="D19" i="6"/>
  <c r="E11" i="3"/>
  <c r="B29" i="6"/>
  <c r="F12" i="11"/>
  <c r="D20" i="11"/>
  <c r="B25" i="11"/>
  <c r="E25" i="1"/>
  <c r="I23" i="5" s="1"/>
  <c r="E51" i="3"/>
  <c r="B31" i="4"/>
  <c r="E26" i="5"/>
  <c r="B27" i="11"/>
  <c r="D24" i="5"/>
  <c r="E21" i="3"/>
  <c r="D19" i="8"/>
  <c r="E19" i="3"/>
  <c r="E25" i="3"/>
  <c r="D23" i="7"/>
  <c r="B29" i="9"/>
  <c r="F7" i="4"/>
  <c r="B31" i="6"/>
  <c r="B31" i="9"/>
  <c r="J20" i="1"/>
  <c r="E18" i="2"/>
  <c r="F18" i="2" s="1"/>
  <c r="E9" i="3"/>
  <c r="E36" i="3"/>
  <c r="D24" i="4"/>
  <c r="D23" i="5"/>
  <c r="B7" i="7"/>
  <c r="D21" i="7"/>
  <c r="D26" i="7"/>
  <c r="E26" i="7" s="1"/>
  <c r="E15" i="3"/>
  <c r="E42" i="3"/>
  <c r="E43" i="3" s="1"/>
  <c r="E6" i="1"/>
  <c r="I20" i="4" s="1"/>
  <c r="E10" i="1"/>
  <c r="E24" i="4" s="1"/>
  <c r="E33" i="1"/>
  <c r="I23" i="7" s="1"/>
  <c r="J36" i="1"/>
  <c r="E44" i="1"/>
  <c r="I25" i="9" s="1"/>
  <c r="E44" i="3"/>
  <c r="B7" i="5"/>
  <c r="D20" i="6"/>
  <c r="F7" i="7"/>
  <c r="D19" i="7"/>
  <c r="D18" i="8"/>
  <c r="D18" i="11"/>
  <c r="D18" i="9"/>
  <c r="B7" i="9"/>
  <c r="J12" i="1"/>
  <c r="E14" i="1"/>
  <c r="I20" i="6" s="1"/>
  <c r="E25" i="2"/>
  <c r="F25" i="2" s="1"/>
  <c r="E39" i="3"/>
  <c r="E24" i="2"/>
  <c r="F24" i="2" s="1"/>
  <c r="B7" i="2"/>
  <c r="E2" i="1"/>
  <c r="E18" i="10" s="1"/>
  <c r="D50" i="1"/>
  <c r="E50" i="1" s="1"/>
  <c r="F7" i="10"/>
  <c r="E53" i="3"/>
  <c r="E55" i="3" s="1"/>
  <c r="F12" i="10"/>
  <c r="F12" i="2"/>
  <c r="B23" i="10"/>
  <c r="F7" i="2"/>
  <c r="J2" i="1"/>
  <c r="D18" i="10"/>
  <c r="B25" i="10"/>
  <c r="I26" i="4"/>
  <c r="H23" i="3"/>
  <c r="H41" i="3"/>
  <c r="I20" i="8"/>
  <c r="I43" i="3"/>
  <c r="H32" i="3"/>
  <c r="H60" i="3"/>
  <c r="H55" i="3"/>
  <c r="I20" i="10"/>
  <c r="I50" i="1"/>
  <c r="H61" i="3"/>
  <c r="J61" i="3" s="1"/>
  <c r="D43" i="3"/>
  <c r="F22" i="2"/>
  <c r="F19" i="2"/>
  <c r="D32" i="3"/>
  <c r="D52" i="3"/>
  <c r="D23" i="3"/>
  <c r="D41" i="3"/>
  <c r="D14" i="3"/>
  <c r="D60" i="3"/>
  <c r="D55" i="3"/>
  <c r="E20" i="8"/>
  <c r="F21" i="2"/>
  <c r="G55" i="3"/>
  <c r="J42" i="3"/>
  <c r="E22" i="6"/>
  <c r="I22" i="4"/>
  <c r="F15" i="3"/>
  <c r="I34" i="3"/>
  <c r="H20" i="9"/>
  <c r="G43" i="3"/>
  <c r="J43" i="3" s="1"/>
  <c r="G60" i="3"/>
  <c r="H22" i="7"/>
  <c r="I58" i="3"/>
  <c r="G41" i="3"/>
  <c r="B24" i="10"/>
  <c r="H18" i="7"/>
  <c r="I25" i="5"/>
  <c r="E24" i="5"/>
  <c r="E20" i="5"/>
  <c r="F36" i="3"/>
  <c r="E60" i="3"/>
  <c r="I36" i="3"/>
  <c r="H21" i="5"/>
  <c r="I23" i="2"/>
  <c r="I25" i="3"/>
  <c r="H24" i="9"/>
  <c r="G14" i="3"/>
  <c r="J14" i="3" s="1"/>
  <c r="H22" i="4"/>
  <c r="H24" i="4"/>
  <c r="H18" i="8"/>
  <c r="H20" i="8" s="1"/>
  <c r="B26" i="11"/>
  <c r="G26" i="2"/>
  <c r="I30" i="3"/>
  <c r="I40" i="3"/>
  <c r="H25" i="5"/>
  <c r="D12" i="10"/>
  <c r="I53" i="3"/>
  <c r="I55" i="3" s="1"/>
  <c r="E25" i="4"/>
  <c r="I25" i="4"/>
  <c r="E23" i="9"/>
  <c r="F9" i="3"/>
  <c r="I22" i="6"/>
  <c r="I23" i="9"/>
  <c r="E18" i="5"/>
  <c r="I56" i="3"/>
  <c r="H18" i="5"/>
  <c r="H22" i="5"/>
  <c r="G23" i="3"/>
  <c r="I24" i="3"/>
  <c r="I26" i="3"/>
  <c r="B30" i="6"/>
  <c r="I19" i="2"/>
  <c r="I18" i="2"/>
  <c r="J56" i="3"/>
  <c r="B30" i="5"/>
  <c r="I28" i="3"/>
  <c r="I25" i="2"/>
  <c r="H19" i="4"/>
  <c r="H25" i="4"/>
  <c r="D12" i="6"/>
  <c r="I21" i="2"/>
  <c r="G52" i="3"/>
  <c r="H18" i="4"/>
  <c r="B30" i="7"/>
  <c r="G32" i="3"/>
  <c r="J32" i="3" s="1"/>
  <c r="D12" i="9"/>
  <c r="I11" i="3"/>
  <c r="I31" i="3"/>
  <c r="I59" i="3"/>
  <c r="F7" i="3"/>
  <c r="F35" i="3"/>
  <c r="F48" i="3"/>
  <c r="I24" i="5"/>
  <c r="I18" i="9"/>
  <c r="E22" i="9"/>
  <c r="I21" i="9"/>
  <c r="F37" i="3"/>
  <c r="F46" i="3"/>
  <c r="F50" i="3"/>
  <c r="E21" i="4"/>
  <c r="E21" i="5"/>
  <c r="I20" i="9"/>
  <c r="E19" i="4"/>
  <c r="F10" i="3"/>
  <c r="F16" i="3"/>
  <c r="F39" i="3"/>
  <c r="F56" i="3"/>
  <c r="I19" i="5"/>
  <c r="E19" i="9"/>
  <c r="I24" i="9"/>
  <c r="F6" i="3"/>
  <c r="I39" i="3"/>
  <c r="D12" i="7"/>
  <c r="H23" i="7"/>
  <c r="B30" i="9"/>
  <c r="I17" i="3"/>
  <c r="I20" i="3"/>
  <c r="F25" i="3"/>
  <c r="J26" i="3"/>
  <c r="F31" i="3"/>
  <c r="I45" i="3"/>
  <c r="I48" i="3"/>
  <c r="I51" i="3"/>
  <c r="B30" i="4"/>
  <c r="E18" i="7"/>
  <c r="I19" i="7"/>
  <c r="E21" i="7"/>
  <c r="I22" i="7"/>
  <c r="E24" i="7"/>
  <c r="I25" i="7"/>
  <c r="I18" i="11"/>
  <c r="I21" i="11"/>
  <c r="H21" i="4"/>
  <c r="H26" i="2"/>
  <c r="I8" i="3"/>
  <c r="F22" i="3"/>
  <c r="F44" i="3"/>
  <c r="F47" i="3"/>
  <c r="H19" i="5"/>
  <c r="I19" i="6"/>
  <c r="E21" i="6"/>
  <c r="E24" i="6"/>
  <c r="I25" i="6"/>
  <c r="H18" i="9"/>
  <c r="H21" i="9"/>
  <c r="D12" i="11"/>
  <c r="E18" i="4"/>
  <c r="F27" i="3"/>
  <c r="F30" i="3"/>
  <c r="J53" i="3"/>
  <c r="H21" i="6"/>
  <c r="I18" i="7"/>
  <c r="E20" i="7"/>
  <c r="F18" i="3"/>
  <c r="H24" i="5"/>
  <c r="E23" i="6"/>
  <c r="D12" i="8"/>
  <c r="H23" i="9"/>
  <c r="E19" i="10"/>
  <c r="H19" i="11"/>
  <c r="H22" i="11" s="1"/>
  <c r="J24" i="3"/>
  <c r="F29" i="3"/>
  <c r="F54" i="3"/>
  <c r="D12" i="5"/>
  <c r="H23" i="6"/>
  <c r="E19" i="7"/>
  <c r="E25" i="7"/>
  <c r="H19" i="10"/>
  <c r="H20" i="10" s="1"/>
  <c r="E18" i="11"/>
  <c r="E21" i="11"/>
  <c r="J15" i="3"/>
  <c r="F17" i="3"/>
  <c r="F45" i="3"/>
  <c r="D12" i="4"/>
  <c r="I19" i="10"/>
  <c r="H20" i="7"/>
  <c r="E52" i="3" l="1"/>
  <c r="F52" i="3" s="1"/>
  <c r="I18" i="8"/>
  <c r="F19" i="3"/>
  <c r="F43" i="3"/>
  <c r="B26" i="10"/>
  <c r="F8" i="3"/>
  <c r="F58" i="3"/>
  <c r="J41" i="3"/>
  <c r="E32" i="3"/>
  <c r="F32" i="3" s="1"/>
  <c r="B26" i="8"/>
  <c r="E23" i="5"/>
  <c r="E20" i="11"/>
  <c r="I22" i="5"/>
  <c r="J52" i="3"/>
  <c r="E14" i="3"/>
  <c r="F14" i="3" s="1"/>
  <c r="J23" i="3"/>
  <c r="F20" i="3"/>
  <c r="F12" i="3"/>
  <c r="I24" i="4"/>
  <c r="J49" i="1"/>
  <c r="E41" i="3"/>
  <c r="F41" i="3" s="1"/>
  <c r="E23" i="3"/>
  <c r="F23" i="3" s="1"/>
  <c r="E61" i="3"/>
  <c r="F61" i="3" s="1"/>
  <c r="I18" i="10"/>
  <c r="F53" i="3"/>
  <c r="E23" i="7"/>
  <c r="I23" i="4"/>
  <c r="B32" i="5"/>
  <c r="F42" i="3"/>
  <c r="F26" i="3"/>
  <c r="E23" i="4"/>
  <c r="E18" i="6"/>
  <c r="E26" i="2"/>
  <c r="F26" i="2" s="1"/>
  <c r="F57" i="3"/>
  <c r="B32" i="7"/>
  <c r="F38" i="3"/>
  <c r="H12" i="2"/>
  <c r="B32" i="4"/>
  <c r="E20" i="6"/>
  <c r="B32" i="9"/>
  <c r="D12" i="2"/>
  <c r="E25" i="9"/>
  <c r="F24" i="3"/>
  <c r="F51" i="3"/>
  <c r="E20" i="4"/>
  <c r="E19" i="11"/>
  <c r="B32" i="6"/>
  <c r="B28" i="11"/>
  <c r="I26" i="2"/>
  <c r="J55" i="3"/>
  <c r="J60" i="3"/>
  <c r="F55" i="3"/>
  <c r="F60" i="3"/>
  <c r="I41" i="3"/>
  <c r="H26" i="5"/>
  <c r="H26" i="6"/>
  <c r="I52" i="3"/>
  <c r="I23" i="3"/>
  <c r="H26" i="7"/>
  <c r="H26" i="4"/>
  <c r="I32" i="3"/>
  <c r="I14" i="3"/>
  <c r="I60" i="3"/>
  <c r="H26" i="9"/>
  <c r="I61" i="3" l="1"/>
</calcChain>
</file>

<file path=xl/sharedStrings.xml><?xml version="1.0" encoding="utf-8"?>
<sst xmlns="http://schemas.openxmlformats.org/spreadsheetml/2006/main" count="426" uniqueCount="186">
  <si>
    <t>Unidad de Negocio</t>
  </si>
  <si>
    <t>Asesor Comercial</t>
  </si>
  <si>
    <t>Ppto Dia</t>
  </si>
  <si>
    <t>Venta Dia</t>
  </si>
  <si>
    <t>Cumplimiento Dia</t>
  </si>
  <si>
    <t>Objetivo Plan 35</t>
  </si>
  <si>
    <t>Numero de facturas</t>
  </si>
  <si>
    <t>Cumplimiento Plan 35</t>
  </si>
  <si>
    <t>Falto</t>
  </si>
  <si>
    <t>Total Venta Unidad</t>
  </si>
  <si>
    <t>Colombina Helados</t>
  </si>
  <si>
    <t>1108 CRISTIAN COTAZO</t>
  </si>
  <si>
    <t>1109 NAVIA LOPEZ HAROLD</t>
  </si>
  <si>
    <t>Sanin</t>
  </si>
  <si>
    <t>1404 JHON JAIME SANCHEZ</t>
  </si>
  <si>
    <t>1406 KEVIN ALEXANDER ORTIZ BADOS</t>
  </si>
  <si>
    <t>Sanin Foraneo</t>
  </si>
  <si>
    <t>1411 BETANIA PEÑA</t>
  </si>
  <si>
    <t>1412 JAIRO RUIZ</t>
  </si>
  <si>
    <t>1416 JOSE LUIS ARTEAGA</t>
  </si>
  <si>
    <t>1417 AREVALO DUARTE CARLOS ALBERTO</t>
  </si>
  <si>
    <t xml:space="preserve">Colombina </t>
  </si>
  <si>
    <t>2001 LEYDI CAROLINA VICTORIA OJEDA</t>
  </si>
  <si>
    <t>2003 MAYI KATERINE PEREZ ORTIZ</t>
  </si>
  <si>
    <t>Colombina Foraneo</t>
  </si>
  <si>
    <t>4002 JUAN CAMILO SOTELO</t>
  </si>
  <si>
    <t>4006 LINA TRUJILLO</t>
  </si>
  <si>
    <t>4007 ANGELA AMPUDIA MOLINA</t>
  </si>
  <si>
    <t>Casa Luker</t>
  </si>
  <si>
    <t>6001 SUSANA NOGUERA</t>
  </si>
  <si>
    <t>6002 STEFANY ALEJANDRA VILLAREAL</t>
  </si>
  <si>
    <t>6003 MAURICIO VIVAS RUIZ</t>
  </si>
  <si>
    <t>6006 SANTIAGO IMBACHI JOAQUI</t>
  </si>
  <si>
    <t>Casa Luker foraneo</t>
  </si>
  <si>
    <t>6007 MEYER MUÑOZ</t>
  </si>
  <si>
    <t>Casa Luker Foraneo</t>
  </si>
  <si>
    <t>6009 FABIO VERGARA</t>
  </si>
  <si>
    <t>6010 ALEJANDRO CIFUENTES GAMBOA</t>
  </si>
  <si>
    <t>6011 FERNANDO CHAGUENDO</t>
  </si>
  <si>
    <t>Tecnoquimicas</t>
  </si>
  <si>
    <t>9001 VICTOR MANUEL GEMBUEL YANDI</t>
  </si>
  <si>
    <t>Tecnoquimicas Foraneo</t>
  </si>
  <si>
    <t>9003  JUAN CAMILO PITO</t>
  </si>
  <si>
    <t>9004 VICTOR CIFUENTES</t>
  </si>
  <si>
    <t>9006 LAURA INES GARCIA</t>
  </si>
  <si>
    <t>9007 MARIA CRISTINA DIAZ</t>
  </si>
  <si>
    <t>9008 DORIS ROSAS MONCADA</t>
  </si>
  <si>
    <t>9009 FREYDER SEBASTIAN ROSERO GOMEZ</t>
  </si>
  <si>
    <t>Clientes Especiales</t>
  </si>
  <si>
    <t>9025 ANDERSON PAJOY</t>
  </si>
  <si>
    <t>Brinsa</t>
  </si>
  <si>
    <t>9040 ANGIE PAOLA CHAGUENDO</t>
  </si>
  <si>
    <t>9042 LEYDI CAROLINA ZUÑIGA CASTILLO</t>
  </si>
  <si>
    <t>9044 ALEXANDRA ERAZO</t>
  </si>
  <si>
    <t>9045 DIANA XIMENA SALAZAR</t>
  </si>
  <si>
    <t>9046 LUIS ALFONSO CAMAYO</t>
  </si>
  <si>
    <t>9047 JUAN CARLOS MORALES</t>
  </si>
  <si>
    <t>9048 ESTEBAN IMBACHI</t>
  </si>
  <si>
    <t>Alimentos Polar</t>
  </si>
  <si>
    <t>9050 MARIA CAMILA RAMIREZ</t>
  </si>
  <si>
    <t>9051 SORY BOLAÑOS</t>
  </si>
  <si>
    <t>9052 ANA CRISTINA MAGUIÑA ORTIZ</t>
  </si>
  <si>
    <t>9053 LIZETH FERNANDA GUZMAN</t>
  </si>
  <si>
    <t>Total general</t>
  </si>
  <si>
    <t>Dirección Comercial  |  47 asesores activos  |  8 unidades de negocio</t>
  </si>
  <si>
    <t>VENTA DÍA TOTAL</t>
  </si>
  <si>
    <t>PRESUPUESTO DÍA</t>
  </si>
  <si>
    <t>CUMPL. PRESUPUESTO</t>
  </si>
  <si>
    <t>CUMPL. PLAN PEDIDOS</t>
  </si>
  <si>
    <t>FACTURAS EMITIDAS</t>
  </si>
  <si>
    <t>ASESORES CUMPLEN META</t>
  </si>
  <si>
    <t>MEJOR UN (VENTA DÍA)</t>
  </si>
  <si>
    <t>UN CRÍTICA (CUMPL.)</t>
  </si>
  <si>
    <t>RESUMEN POR UNIDAD DE NEGOCIO</t>
  </si>
  <si>
    <t>Asesores</t>
  </si>
  <si>
    <t>Presupuesto Día</t>
  </si>
  <si>
    <t>Venta Día</t>
  </si>
  <si>
    <t>% Cumpl. Ppto</t>
  </si>
  <si>
    <t>Facturas</t>
  </si>
  <si>
    <t>Obj. Plan</t>
  </si>
  <si>
    <t>% Cumpl. Plan</t>
  </si>
  <si>
    <t>Colombina</t>
  </si>
  <si>
    <t>TOTAL GENERAL</t>
  </si>
  <si>
    <t>DETALLE ASESORES COMERCIALES</t>
  </si>
  <si>
    <t>Ordenado por unidad de negocio y venta día  |  Semáforo: verde ≥90% · amarillo ≥70% · naranja ≥50% · rojo &lt;50%</t>
  </si>
  <si>
    <t>Asesor</t>
  </si>
  <si>
    <t>Ppto Día ($)</t>
  </si>
  <si>
    <t>Venta Día ($)</t>
  </si>
  <si>
    <t># Facturas</t>
  </si>
  <si>
    <t>Faltante</t>
  </si>
  <si>
    <t>TOTAL SANIN</t>
  </si>
  <si>
    <t>TOTAL CASA LUKER</t>
  </si>
  <si>
    <t>TOTAL COLOMBINA</t>
  </si>
  <si>
    <t>TOTAL TECNOQUIMICAS</t>
  </si>
  <si>
    <t>TOTAL CLIENTES ESPECIALES</t>
  </si>
  <si>
    <t>TOTAL BRINSA</t>
  </si>
  <si>
    <t>TOTAL COLOMBINA HELADOS</t>
  </si>
  <si>
    <t>TOTAL ALIMENTOS POLAR</t>
  </si>
  <si>
    <t>UNIDAD DE NEGOCIO — SANIN</t>
  </si>
  <si>
    <t>Corte: MARZO 2025  |  Asesores: 8  |  Informe automático</t>
  </si>
  <si>
    <t>VENTA DÍA</t>
  </si>
  <si>
    <t>% CUMPL. PPTO</t>
  </si>
  <si>
    <t>% CUMPL. PLAN</t>
  </si>
  <si>
    <t>FACTURAS / OBJETIVO</t>
  </si>
  <si>
    <t>CUMPLEN META PLAN</t>
  </si>
  <si>
    <t>MEJOR ASESOR</t>
  </si>
  <si>
    <t>PEDIDOS FALTANTES</t>
  </si>
  <si>
    <t>DETALLE DE ASESORES — SANIN</t>
  </si>
  <si>
    <t>Estado Plan</t>
  </si>
  <si>
    <t>ANÁLISIS DE GESTIÓN</t>
  </si>
  <si>
    <t>UNIDAD DE NEGOCIO — CASA LUKER</t>
  </si>
  <si>
    <t>DETALLE DE ASESORES — CASA LUKER</t>
  </si>
  <si>
    <t>UNIDAD DE NEGOCIO — COLOMBINA</t>
  </si>
  <si>
    <t>DETALLE DE ASESORES — COLOMBINA</t>
  </si>
  <si>
    <t>UNIDAD DE NEGOCIO — TECNOQUIMICAS</t>
  </si>
  <si>
    <t>DETALLE DE ASESORES — TECNOQUIMICAS</t>
  </si>
  <si>
    <t>UNIDAD DE NEGOCIO — CLIENTES ESPECIALES</t>
  </si>
  <si>
    <t>Corte: MARZO 2025  |  Asesores: 2  |  Informe automático</t>
  </si>
  <si>
    <t>DETALLE DE ASESORES — CLIENTES ESPECIALES</t>
  </si>
  <si>
    <t>UNIDAD DE NEGOCIO — BRINSA</t>
  </si>
  <si>
    <t>DETALLE DE ASESORES — BRINSA</t>
  </si>
  <si>
    <t>UNIDAD DE NEGOCIO — COLOMBINA HELADOS</t>
  </si>
  <si>
    <t>DETALLE DE ASESORES — COLOMBINA HELADOS</t>
  </si>
  <si>
    <t>UNIDAD DE NEGOCIO — ALIMENTOS POLAR</t>
  </si>
  <si>
    <t>Corte: MARZO 2025  |  Asesores: 4  |  Informe automático</t>
  </si>
  <si>
    <t>DETALLE DE ASESORES — ALIMENTOS POLAR</t>
  </si>
  <si>
    <t>RANKING DE ASESORES — VENTA DÍA</t>
  </si>
  <si>
    <t>Clasificación por venta día · incluye posición, unidad de negocio y cumplimientos</t>
  </si>
  <si>
    <t>Pos.</t>
  </si>
  <si>
    <t>Estado</t>
  </si>
  <si>
    <t>🥇</t>
  </si>
  <si>
    <t>🥈</t>
  </si>
  <si>
    <t>🥉</t>
  </si>
  <si>
    <t>4°</t>
  </si>
  <si>
    <t>5°</t>
  </si>
  <si>
    <t>6°</t>
  </si>
  <si>
    <t>7°</t>
  </si>
  <si>
    <t>8°</t>
  </si>
  <si>
    <t>9°</t>
  </si>
  <si>
    <t>10°</t>
  </si>
  <si>
    <t>11°</t>
  </si>
  <si>
    <t>12°</t>
  </si>
  <si>
    <t>13°</t>
  </si>
  <si>
    <t>14°</t>
  </si>
  <si>
    <t>15°</t>
  </si>
  <si>
    <t>16°</t>
  </si>
  <si>
    <t>17°</t>
  </si>
  <si>
    <t>18°</t>
  </si>
  <si>
    <t>19°</t>
  </si>
  <si>
    <t>20°</t>
  </si>
  <si>
    <t>21°</t>
  </si>
  <si>
    <t>22°</t>
  </si>
  <si>
    <t>23°</t>
  </si>
  <si>
    <t>24°</t>
  </si>
  <si>
    <t>25°</t>
  </si>
  <si>
    <t>26°</t>
  </si>
  <si>
    <t>27°</t>
  </si>
  <si>
    <t>28°</t>
  </si>
  <si>
    <t>29°</t>
  </si>
  <si>
    <t>30°</t>
  </si>
  <si>
    <t>31°</t>
  </si>
  <si>
    <t>32°</t>
  </si>
  <si>
    <t>33°</t>
  </si>
  <si>
    <t>34°</t>
  </si>
  <si>
    <t>35°</t>
  </si>
  <si>
    <t>36°</t>
  </si>
  <si>
    <t>37°</t>
  </si>
  <si>
    <t>38°</t>
  </si>
  <si>
    <t>39°</t>
  </si>
  <si>
    <t>40°</t>
  </si>
  <si>
    <t>41°</t>
  </si>
  <si>
    <t>42°</t>
  </si>
  <si>
    <t>43°</t>
  </si>
  <si>
    <t>44°</t>
  </si>
  <si>
    <t>45°</t>
  </si>
  <si>
    <t>46°</t>
  </si>
  <si>
    <t>47°</t>
  </si>
  <si>
    <t>48°</t>
  </si>
  <si>
    <t>1407 SANTIAGO OTERO</t>
  </si>
  <si>
    <t>4009 STEPHANIE MUNÑOZ</t>
  </si>
  <si>
    <t>1410 JUAN MANUEL SILVA</t>
  </si>
  <si>
    <t>INFORME DE VENTAS</t>
  </si>
  <si>
    <t>2004 NICOL CRUZ</t>
  </si>
  <si>
    <t>2006 CRISTIAN CALLE</t>
  </si>
  <si>
    <t>9041 DAVID PERDOMO</t>
  </si>
  <si>
    <t>9002 SEBASTIAN MAURICIO MOSQUERA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</si>
</sst>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\ #,##0;[Red]\-&quot;$&quot;\ #,##0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0.0%"/>
    <numFmt numFmtId="166" formatCode="_-* #,##0_-;\-* #,##0_-;_-* &quot;-&quot;??_-;_-@_-"/>
  </numFmts>
  <fonts count="6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rgb="FFFFFFFF"/>
      <name val="Calibri"/>
      <family val="2"/>
    </font>
    <font>
      <sz val="10"/>
      <color rgb="FF64748B"/>
      <name val="Calibri"/>
      <family val="2"/>
    </font>
    <font>
      <b/>
      <sz val="10"/>
      <color rgb="FFFFFFFF"/>
      <name val="Calibri"/>
      <family val="2"/>
    </font>
    <font>
      <b/>
      <sz val="20"/>
      <color rgb="FF1D4ED8"/>
      <name val="Calibri"/>
      <family val="2"/>
    </font>
    <font>
      <b/>
      <sz val="20"/>
      <color rgb="FF0F2044"/>
      <name val="Calibri"/>
      <family val="2"/>
    </font>
    <font>
      <b/>
      <sz val="20"/>
      <color rgb="FFDC2626"/>
      <name val="Calibri"/>
      <family val="2"/>
    </font>
    <font>
      <b/>
      <sz val="20"/>
      <color rgb="FFD97706"/>
      <name val="Calibri"/>
      <family val="2"/>
    </font>
    <font>
      <b/>
      <sz val="14"/>
      <color rgb="FF0D9488"/>
      <name val="Calibri"/>
      <family val="2"/>
    </font>
    <font>
      <b/>
      <sz val="14"/>
      <color rgb="FFDC2626"/>
      <name val="Calibri"/>
      <family val="2"/>
    </font>
    <font>
      <b/>
      <sz val="14"/>
      <color rgb="FF1D4ED8"/>
      <name val="Calibri"/>
      <family val="2"/>
    </font>
    <font>
      <b/>
      <sz val="12"/>
      <color rgb="FFFFFFFF"/>
      <name val="Calibri"/>
      <family val="2"/>
    </font>
    <font>
      <b/>
      <sz val="10"/>
      <color rgb="FF1D4ED8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0"/>
      <color rgb="FFD97706"/>
      <name val="Calibri"/>
      <family val="2"/>
    </font>
    <font>
      <b/>
      <sz val="10"/>
      <color rgb="FF0D9488"/>
      <name val="Calibri"/>
      <family val="2"/>
    </font>
    <font>
      <b/>
      <sz val="10"/>
      <color rgb="FFDC2626"/>
      <name val="Calibri"/>
      <family val="2"/>
    </font>
    <font>
      <b/>
      <sz val="10"/>
      <color rgb="FF0F2044"/>
      <name val="Calibri"/>
      <family val="2"/>
    </font>
    <font>
      <b/>
      <sz val="10"/>
      <color rgb="FF059669"/>
      <name val="Calibri"/>
      <family val="2"/>
    </font>
    <font>
      <b/>
      <sz val="10"/>
      <color rgb="FF7C3AED"/>
      <name val="Calibri"/>
      <family val="2"/>
    </font>
    <font>
      <b/>
      <sz val="10"/>
      <color rgb="FFDB2777"/>
      <name val="Calibri"/>
      <family val="2"/>
    </font>
    <font>
      <sz val="9"/>
      <color rgb="FF64748B"/>
      <name val="Calibri"/>
      <family val="2"/>
    </font>
    <font>
      <b/>
      <sz val="9"/>
      <color rgb="FF1D4ED8"/>
      <name val="Calibri"/>
      <family val="2"/>
    </font>
    <font>
      <sz val="9"/>
      <color rgb="FF1E293B"/>
      <name val="Calibri"/>
      <family val="2"/>
    </font>
    <font>
      <b/>
      <sz val="9"/>
      <color rgb="FF1E293B"/>
      <name val="Calibri"/>
      <family val="2"/>
    </font>
    <font>
      <b/>
      <sz val="9"/>
      <color rgb="FFD97706"/>
      <name val="Calibri"/>
      <family val="2"/>
    </font>
    <font>
      <b/>
      <sz val="9"/>
      <color rgb="FFFFFFFF"/>
      <name val="Calibri"/>
      <family val="2"/>
    </font>
    <font>
      <b/>
      <sz val="9"/>
      <color rgb="FF0D9488"/>
      <name val="Calibri"/>
      <family val="2"/>
    </font>
    <font>
      <b/>
      <sz val="9"/>
      <color rgb="FFDC2626"/>
      <name val="Calibri"/>
      <family val="2"/>
    </font>
    <font>
      <b/>
      <sz val="9"/>
      <color rgb="FF0F2044"/>
      <name val="Calibri"/>
      <family val="2"/>
    </font>
    <font>
      <b/>
      <sz val="9"/>
      <color rgb="FF059669"/>
      <name val="Calibri"/>
      <family val="2"/>
    </font>
    <font>
      <b/>
      <sz val="9"/>
      <color rgb="FF7C3AED"/>
      <name val="Calibri"/>
      <family val="2"/>
    </font>
    <font>
      <b/>
      <sz val="9"/>
      <color rgb="FFDB2777"/>
      <name val="Calibri"/>
      <family val="2"/>
    </font>
    <font>
      <b/>
      <sz val="16"/>
      <color rgb="FFFFFFFF"/>
      <name val="Calibri"/>
      <family val="2"/>
    </font>
    <font>
      <b/>
      <sz val="18"/>
      <color rgb="FF1D4ED8"/>
      <name val="Calibri"/>
      <family val="2"/>
    </font>
    <font>
      <b/>
      <sz val="18"/>
      <color rgb="FF0F2044"/>
      <name val="Calibri"/>
      <family val="2"/>
    </font>
    <font>
      <b/>
      <sz val="18"/>
      <color rgb="FFDC2626"/>
      <name val="Calibri"/>
      <family val="2"/>
    </font>
    <font>
      <b/>
      <sz val="18"/>
      <color rgb="FFD97706"/>
      <name val="Calibri"/>
      <family val="2"/>
    </font>
    <font>
      <b/>
      <sz val="13"/>
      <color rgb="FF0D9488"/>
      <name val="Calibri"/>
      <family val="2"/>
    </font>
    <font>
      <b/>
      <sz val="13"/>
      <color rgb="FFDC2626"/>
      <name val="Calibri"/>
      <family val="2"/>
    </font>
    <font>
      <b/>
      <sz val="13"/>
      <color rgb="FF1D4ED8"/>
      <name val="Calibri"/>
      <family val="2"/>
    </font>
    <font>
      <b/>
      <sz val="13"/>
      <color rgb="FFFFFFFF"/>
      <name val="Calibri"/>
      <family val="2"/>
    </font>
    <font>
      <b/>
      <sz val="11"/>
      <color rgb="FF1D4ED8"/>
      <name val="Calibri"/>
      <family val="2"/>
    </font>
    <font>
      <b/>
      <sz val="11"/>
      <color rgb="FFFFFFFF"/>
      <name val="Calibri"/>
      <family val="2"/>
    </font>
    <font>
      <b/>
      <sz val="13"/>
      <color rgb="FFD97706"/>
      <name val="Calibri"/>
      <family val="2"/>
    </font>
    <font>
      <b/>
      <sz val="11"/>
      <color rgb="FFD97706"/>
      <name val="Calibri"/>
      <family val="2"/>
    </font>
    <font>
      <b/>
      <sz val="18"/>
      <color rgb="FF0D9488"/>
      <name val="Calibri"/>
      <family val="2"/>
    </font>
    <font>
      <b/>
      <sz val="11"/>
      <color rgb="FF0D9488"/>
      <name val="Calibri"/>
      <family val="2"/>
    </font>
    <font>
      <b/>
      <sz val="11"/>
      <color rgb="FFDC2626"/>
      <name val="Calibri"/>
      <family val="2"/>
    </font>
    <font>
      <b/>
      <sz val="13"/>
      <color rgb="FF0F2044"/>
      <name val="Calibri"/>
      <family val="2"/>
    </font>
    <font>
      <b/>
      <sz val="11"/>
      <color rgb="FF0F2044"/>
      <name val="Calibri"/>
      <family val="2"/>
    </font>
    <font>
      <b/>
      <sz val="18"/>
      <color rgb="FF059669"/>
      <name val="Calibri"/>
      <family val="2"/>
    </font>
    <font>
      <b/>
      <sz val="13"/>
      <color rgb="FF059669"/>
      <name val="Calibri"/>
      <family val="2"/>
    </font>
    <font>
      <b/>
      <sz val="11"/>
      <color rgb="FF059669"/>
      <name val="Calibri"/>
      <family val="2"/>
    </font>
    <font>
      <b/>
      <sz val="18"/>
      <color rgb="FF7C3AED"/>
      <name val="Calibri"/>
      <family val="2"/>
    </font>
    <font>
      <b/>
      <sz val="13"/>
      <color rgb="FF7C3AED"/>
      <name val="Calibri"/>
      <family val="2"/>
    </font>
    <font>
      <b/>
      <sz val="11"/>
      <color rgb="FF7C3AED"/>
      <name val="Calibri"/>
      <family val="2"/>
    </font>
    <font>
      <b/>
      <sz val="18"/>
      <color rgb="FFDB2777"/>
      <name val="Calibri"/>
      <family val="2"/>
    </font>
    <font>
      <b/>
      <sz val="13"/>
      <color rgb="FFDB2777"/>
      <name val="Calibri"/>
      <family val="2"/>
    </font>
    <font>
      <b/>
      <sz val="11"/>
      <color rgb="FFDB2777"/>
      <name val="Calibri"/>
      <family val="2"/>
    </font>
    <font>
      <sz val="11"/>
      <color theme="1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F2044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F8FAFC"/>
      </patternFill>
    </fill>
    <fill>
      <patternFill patternType="solid">
        <fgColor rgb="FFDC2626"/>
      </patternFill>
    </fill>
    <fill>
      <patternFill patternType="solid">
        <fgColor rgb="FFD97706"/>
      </patternFill>
    </fill>
    <fill>
      <patternFill patternType="solid">
        <fgColor rgb="FF0D9488"/>
      </patternFill>
    </fill>
    <fill>
      <patternFill patternType="solid">
        <fgColor rgb="FFDBEAFE"/>
      </patternFill>
    </fill>
    <fill>
      <patternFill patternType="solid">
        <fgColor rgb="FFFEF3C7"/>
      </patternFill>
    </fill>
    <fill>
      <patternFill patternType="solid">
        <fgColor rgb="FFFFFFFF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E2E8F0"/>
      </patternFill>
    </fill>
    <fill>
      <patternFill patternType="solid">
        <fgColor rgb="FFD1FAE5"/>
      </patternFill>
    </fill>
    <fill>
      <patternFill patternType="solid">
        <fgColor rgb="FFEDE9FE"/>
      </patternFill>
    </fill>
    <fill>
      <patternFill patternType="solid">
        <fgColor rgb="FFFCE7F3"/>
      </patternFill>
    </fill>
    <fill>
      <patternFill patternType="solid">
        <fgColor rgb="FF059669"/>
      </patternFill>
    </fill>
    <fill>
      <patternFill patternType="solid">
        <fgColor rgb="FF7C3AED"/>
      </patternFill>
    </fill>
    <fill>
      <patternFill patternType="solid">
        <fgColor rgb="FFDB2777"/>
      </patternFill>
    </fill>
    <fill>
      <patternFill patternType="solid">
        <fgColor theme="3" tint="-0.499984740745262"/>
        <bgColor indexed="64"/>
      </patternFill>
    </fill>
  </fills>
  <borders count="38">
    <border>
      <left/>
      <right/>
      <top/>
      <bottom/>
      <diagonal/>
    </border>
    <border>
      <left style="medium">
        <color auto="1"/>
      </left>
      <right style="dashed">
        <color auto="1"/>
      </right>
      <top style="medium">
        <color auto="1"/>
      </top>
      <bottom/>
      <diagonal/>
    </border>
    <border>
      <left/>
      <right style="dashed">
        <color auto="1"/>
      </right>
      <top style="medium">
        <color auto="1"/>
      </top>
      <bottom/>
      <diagonal/>
    </border>
    <border>
      <left style="dashed">
        <color auto="1"/>
      </left>
      <right style="dashed">
        <color auto="1"/>
      </right>
      <top style="medium">
        <color auto="1"/>
      </top>
      <bottom/>
      <diagonal/>
    </border>
    <border>
      <left style="dashed">
        <color auto="1"/>
      </left>
      <right/>
      <top style="medium">
        <color auto="1"/>
      </top>
      <bottom/>
      <diagonal/>
    </border>
    <border>
      <left style="dashed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dashed">
        <color auto="1"/>
      </bottom>
      <diagonal/>
    </border>
    <border>
      <left/>
      <right style="dashed">
        <color auto="1"/>
      </right>
      <top style="medium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medium">
        <color auto="1"/>
      </top>
      <bottom style="dashed">
        <color auto="1"/>
      </bottom>
      <diagonal/>
    </border>
    <border>
      <left style="dashed">
        <color auto="1"/>
      </left>
      <right/>
      <top style="medium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 style="medium">
        <color auto="1"/>
      </top>
      <bottom style="dashed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  <border>
      <left/>
      <right style="dashed">
        <color auto="1"/>
      </right>
      <top style="dashed">
        <color auto="1"/>
      </top>
      <bottom style="medium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medium">
        <color auto="1"/>
      </bottom>
      <diagonal/>
    </border>
    <border>
      <left style="dashed">
        <color auto="1"/>
      </left>
      <right/>
      <top style="dashed">
        <color auto="1"/>
      </top>
      <bottom style="medium">
        <color auto="1"/>
      </bottom>
      <diagonal/>
    </border>
    <border>
      <left style="dashed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dashed">
        <color auto="1"/>
      </top>
      <bottom style="dashed">
        <color auto="1"/>
      </bottom>
      <diagonal/>
    </border>
    <border>
      <left/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/>
      <top style="dashed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 style="dashed">
        <color auto="1"/>
      </top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medium">
        <color auto="1"/>
      </right>
      <top/>
      <bottom style="dashed">
        <color auto="1"/>
      </bottom>
      <diagonal/>
    </border>
    <border>
      <left/>
      <right/>
      <top style="thin">
        <color theme="6" tint="0.79998168889431442"/>
      </top>
      <bottom style="thin">
        <color theme="6" tint="0.79998168889431442"/>
      </bottom>
      <diagonal/>
    </border>
    <border>
      <left/>
      <right style="dashed">
        <color auto="1"/>
      </right>
      <top style="dashed">
        <color auto="1"/>
      </top>
      <bottom/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dashed">
        <color auto="1"/>
      </left>
      <right/>
      <top style="dashed">
        <color auto="1"/>
      </top>
      <bottom/>
      <diagonal/>
    </border>
    <border>
      <left style="dashed">
        <color auto="1"/>
      </left>
      <right style="medium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 style="medium">
        <color auto="1"/>
      </top>
      <bottom style="dashed">
        <color auto="1"/>
      </bottom>
      <diagonal/>
    </border>
    <border>
      <left style="medium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medium">
        <color auto="1"/>
      </left>
      <right style="dashed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</borders>
  <cellStyleXfs count="3">
    <xf numFmtId="0" fontId="0" fillId="0" borderId="0"/>
    <xf numFmtId="9" fontId="66" fillId="0" borderId="0" applyFont="0" applyFill="0" applyBorder="0" applyAlignment="0" applyProtection="0"/>
    <xf numFmtId="43" fontId="66" fillId="0" borderId="0" applyFont="0" applyFill="0" applyBorder="0" applyAlignment="0" applyProtection="0"/>
  </cellStyleXfs>
  <cellXfs count="199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/>
    </xf>
    <xf numFmtId="0" fontId="3" fillId="0" borderId="8" xfId="0" applyFont="1" applyBorder="1"/>
    <xf numFmtId="6" fontId="0" fillId="0" borderId="8" xfId="0" applyNumberFormat="1" applyBorder="1"/>
    <xf numFmtId="9" fontId="3" fillId="0" borderId="9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9" fontId="3" fillId="0" borderId="10" xfId="0" applyNumberFormat="1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4" xfId="0" applyFont="1" applyBorder="1"/>
    <xf numFmtId="6" fontId="0" fillId="0" borderId="14" xfId="0" applyNumberFormat="1" applyBorder="1"/>
    <xf numFmtId="9" fontId="3" fillId="0" borderId="15" xfId="0" applyNumberFormat="1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9" fontId="3" fillId="0" borderId="16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20" xfId="0" applyFont="1" applyBorder="1"/>
    <xf numFmtId="6" fontId="0" fillId="0" borderId="20" xfId="0" applyNumberFormat="1" applyBorder="1"/>
    <xf numFmtId="164" fontId="3" fillId="0" borderId="21" xfId="0" applyNumberFormat="1" applyFont="1" applyBorder="1"/>
    <xf numFmtId="9" fontId="3" fillId="0" borderId="21" xfId="0" applyNumberFormat="1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9" fontId="3" fillId="0" borderId="22" xfId="0" applyNumberFormat="1" applyFont="1" applyBorder="1" applyAlignment="1">
      <alignment horizontal="center"/>
    </xf>
    <xf numFmtId="0" fontId="3" fillId="0" borderId="23" xfId="0" applyFont="1" applyBorder="1" applyAlignment="1">
      <alignment horizontal="center"/>
    </xf>
    <xf numFmtId="0" fontId="4" fillId="3" borderId="20" xfId="0" applyFont="1" applyFill="1" applyBorder="1"/>
    <xf numFmtId="6" fontId="5" fillId="3" borderId="20" xfId="0" applyNumberFormat="1" applyFont="1" applyFill="1" applyBorder="1"/>
    <xf numFmtId="9" fontId="4" fillId="3" borderId="21" xfId="0" applyNumberFormat="1" applyFont="1" applyFill="1" applyBorder="1" applyAlignment="1">
      <alignment horizontal="center"/>
    </xf>
    <xf numFmtId="0" fontId="4" fillId="3" borderId="21" xfId="0" applyFont="1" applyFill="1" applyBorder="1" applyAlignment="1">
      <alignment horizontal="center"/>
    </xf>
    <xf numFmtId="9" fontId="4" fillId="3" borderId="22" xfId="0" applyNumberFormat="1" applyFont="1" applyFill="1" applyBorder="1" applyAlignment="1">
      <alignment horizontal="center"/>
    </xf>
    <xf numFmtId="0" fontId="4" fillId="3" borderId="23" xfId="0" applyFont="1" applyFill="1" applyBorder="1" applyAlignment="1">
      <alignment horizontal="center"/>
    </xf>
    <xf numFmtId="9" fontId="4" fillId="3" borderId="15" xfId="0" applyNumberFormat="1" applyFont="1" applyFill="1" applyBorder="1" applyAlignment="1">
      <alignment horizontal="center"/>
    </xf>
    <xf numFmtId="0" fontId="4" fillId="3" borderId="15" xfId="0" applyFont="1" applyFill="1" applyBorder="1" applyAlignment="1">
      <alignment horizontal="center"/>
    </xf>
    <xf numFmtId="0" fontId="4" fillId="3" borderId="17" xfId="0" applyFont="1" applyFill="1" applyBorder="1" applyAlignment="1">
      <alignment horizontal="center"/>
    </xf>
    <xf numFmtId="9" fontId="3" fillId="0" borderId="25" xfId="0" applyNumberFormat="1" applyFont="1" applyBorder="1" applyAlignment="1">
      <alignment horizontal="center"/>
    </xf>
    <xf numFmtId="0" fontId="3" fillId="0" borderId="25" xfId="0" applyFont="1" applyBorder="1" applyAlignment="1">
      <alignment horizontal="center"/>
    </xf>
    <xf numFmtId="0" fontId="3" fillId="0" borderId="26" xfId="0" applyFont="1" applyBorder="1" applyAlignment="1">
      <alignment horizontal="center"/>
    </xf>
    <xf numFmtId="6" fontId="0" fillId="0" borderId="15" xfId="0" applyNumberFormat="1" applyBorder="1"/>
    <xf numFmtId="164" fontId="1" fillId="0" borderId="15" xfId="0" applyNumberFormat="1" applyFont="1" applyBorder="1" applyAlignment="1">
      <alignment horizontal="center"/>
    </xf>
    <xf numFmtId="9" fontId="1" fillId="0" borderId="15" xfId="0" applyNumberFormat="1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8" fillId="6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17" fillId="11" borderId="0" xfId="0" applyFont="1" applyFill="1" applyAlignment="1">
      <alignment horizontal="left" vertical="center"/>
    </xf>
    <xf numFmtId="0" fontId="18" fillId="5" borderId="0" xfId="0" applyFont="1" applyFill="1" applyAlignment="1">
      <alignment horizontal="center" vertical="center"/>
    </xf>
    <xf numFmtId="3" fontId="18" fillId="5" borderId="0" xfId="0" applyNumberFormat="1" applyFont="1" applyFill="1" applyAlignment="1">
      <alignment horizontal="right" vertical="center"/>
    </xf>
    <xf numFmtId="4" fontId="19" fillId="5" borderId="0" xfId="0" applyNumberFormat="1" applyFont="1" applyFill="1" applyAlignment="1">
      <alignment horizontal="right" vertical="center"/>
    </xf>
    <xf numFmtId="165" fontId="20" fillId="5" borderId="0" xfId="0" applyNumberFormat="1" applyFont="1" applyFill="1" applyAlignment="1">
      <alignment horizontal="center" vertical="center"/>
    </xf>
    <xf numFmtId="3" fontId="18" fillId="5" borderId="0" xfId="0" applyNumberFormat="1" applyFont="1" applyFill="1" applyAlignment="1">
      <alignment horizontal="center" vertical="center"/>
    </xf>
    <xf numFmtId="0" fontId="20" fillId="12" borderId="0" xfId="0" applyFont="1" applyFill="1" applyAlignment="1">
      <alignment horizontal="left" vertical="center"/>
    </xf>
    <xf numFmtId="0" fontId="18" fillId="13" borderId="0" xfId="0" applyFont="1" applyFill="1" applyAlignment="1">
      <alignment horizontal="center" vertical="center"/>
    </xf>
    <xf numFmtId="3" fontId="18" fillId="13" borderId="0" xfId="0" applyNumberFormat="1" applyFont="1" applyFill="1" applyAlignment="1">
      <alignment horizontal="right" vertical="center"/>
    </xf>
    <xf numFmtId="4" fontId="19" fillId="13" borderId="0" xfId="0" applyNumberFormat="1" applyFont="1" applyFill="1" applyAlignment="1">
      <alignment horizontal="right" vertical="center"/>
    </xf>
    <xf numFmtId="165" fontId="20" fillId="13" borderId="0" xfId="0" applyNumberFormat="1" applyFont="1" applyFill="1" applyAlignment="1">
      <alignment horizontal="center" vertical="center"/>
    </xf>
    <xf numFmtId="3" fontId="18" fillId="13" borderId="0" xfId="0" applyNumberFormat="1" applyFont="1" applyFill="1" applyAlignment="1">
      <alignment horizontal="center" vertical="center"/>
    </xf>
    <xf numFmtId="0" fontId="21" fillId="14" borderId="0" xfId="0" applyFont="1" applyFill="1" applyAlignment="1">
      <alignment horizontal="left" vertical="center"/>
    </xf>
    <xf numFmtId="0" fontId="22" fillId="15" borderId="0" xfId="0" applyFont="1" applyFill="1" applyAlignment="1">
      <alignment horizontal="left" vertical="center"/>
    </xf>
    <xf numFmtId="0" fontId="23" fillId="16" borderId="0" xfId="0" applyFont="1" applyFill="1" applyAlignment="1">
      <alignment horizontal="left" vertical="center"/>
    </xf>
    <xf numFmtId="0" fontId="24" fillId="17" borderId="0" xfId="0" applyFont="1" applyFill="1" applyAlignment="1">
      <alignment horizontal="left" vertical="center"/>
    </xf>
    <xf numFmtId="0" fontId="25" fillId="18" borderId="0" xfId="0" applyFont="1" applyFill="1" applyAlignment="1">
      <alignment horizontal="left" vertical="center"/>
    </xf>
    <xf numFmtId="0" fontId="26" fillId="19" borderId="0" xfId="0" applyFont="1" applyFill="1" applyAlignment="1">
      <alignment horizontal="left" vertical="center"/>
    </xf>
    <xf numFmtId="0" fontId="8" fillId="4" borderId="0" xfId="0" applyFont="1" applyFill="1" applyAlignment="1">
      <alignment horizontal="left" vertical="center"/>
    </xf>
    <xf numFmtId="3" fontId="8" fillId="4" borderId="0" xfId="0" applyNumberFormat="1" applyFont="1" applyFill="1" applyAlignment="1">
      <alignment horizontal="right" vertical="center"/>
    </xf>
    <xf numFmtId="4" fontId="8" fillId="4" borderId="0" xfId="0" applyNumberFormat="1" applyFont="1" applyFill="1" applyAlignment="1">
      <alignment horizontal="right" vertical="center"/>
    </xf>
    <xf numFmtId="165" fontId="8" fillId="4" borderId="0" xfId="0" applyNumberFormat="1" applyFont="1" applyFill="1" applyAlignment="1">
      <alignment horizontal="center" vertical="center"/>
    </xf>
    <xf numFmtId="3" fontId="8" fillId="4" borderId="0" xfId="0" applyNumberFormat="1" applyFont="1" applyFill="1" applyAlignment="1">
      <alignment horizontal="center" vertical="center"/>
    </xf>
    <xf numFmtId="0" fontId="28" fillId="11" borderId="0" xfId="0" applyFont="1" applyFill="1" applyAlignment="1">
      <alignment horizontal="left" vertical="center"/>
    </xf>
    <xf numFmtId="0" fontId="29" fillId="5" borderId="0" xfId="0" applyFont="1" applyFill="1" applyAlignment="1">
      <alignment horizontal="left" vertical="center"/>
    </xf>
    <xf numFmtId="3" fontId="29" fillId="5" borderId="0" xfId="0" applyNumberFormat="1" applyFont="1" applyFill="1" applyAlignment="1">
      <alignment horizontal="right" vertical="center"/>
    </xf>
    <xf numFmtId="4" fontId="30" fillId="5" borderId="0" xfId="0" applyNumberFormat="1" applyFont="1" applyFill="1" applyAlignment="1">
      <alignment horizontal="right" vertical="center"/>
    </xf>
    <xf numFmtId="165" fontId="31" fillId="5" borderId="0" xfId="0" applyNumberFormat="1" applyFont="1" applyFill="1" applyAlignment="1">
      <alignment horizontal="center" vertical="center"/>
    </xf>
    <xf numFmtId="0" fontId="29" fillId="5" borderId="0" xfId="0" applyFont="1" applyFill="1" applyAlignment="1">
      <alignment horizontal="center" vertical="center"/>
    </xf>
    <xf numFmtId="0" fontId="29" fillId="13" borderId="0" xfId="0" applyFont="1" applyFill="1" applyAlignment="1">
      <alignment horizontal="left" vertical="center"/>
    </xf>
    <xf numFmtId="3" fontId="29" fillId="13" borderId="0" xfId="0" applyNumberFormat="1" applyFont="1" applyFill="1" applyAlignment="1">
      <alignment horizontal="right" vertical="center"/>
    </xf>
    <xf numFmtId="4" fontId="30" fillId="13" borderId="0" xfId="0" applyNumberFormat="1" applyFont="1" applyFill="1" applyAlignment="1">
      <alignment horizontal="right" vertical="center"/>
    </xf>
    <xf numFmtId="165" fontId="31" fillId="13" borderId="0" xfId="0" applyNumberFormat="1" applyFont="1" applyFill="1" applyAlignment="1">
      <alignment horizontal="center" vertical="center"/>
    </xf>
    <xf numFmtId="0" fontId="29" fillId="13" borderId="0" xfId="0" applyFont="1" applyFill="1" applyAlignment="1">
      <alignment horizontal="center" vertical="center"/>
    </xf>
    <xf numFmtId="0" fontId="32" fillId="4" borderId="0" xfId="0" applyFont="1" applyFill="1" applyAlignment="1">
      <alignment horizontal="left" vertical="center"/>
    </xf>
    <xf numFmtId="3" fontId="32" fillId="4" borderId="0" xfId="0" applyNumberFormat="1" applyFont="1" applyFill="1" applyAlignment="1">
      <alignment horizontal="right" vertical="center"/>
    </xf>
    <xf numFmtId="4" fontId="32" fillId="4" borderId="0" xfId="0" applyNumberFormat="1" applyFont="1" applyFill="1" applyAlignment="1">
      <alignment horizontal="right" vertical="center"/>
    </xf>
    <xf numFmtId="165" fontId="32" fillId="4" borderId="0" xfId="0" applyNumberFormat="1" applyFont="1" applyFill="1" applyAlignment="1">
      <alignment horizontal="center" vertical="center"/>
    </xf>
    <xf numFmtId="0" fontId="32" fillId="4" borderId="0" xfId="0" applyFont="1" applyFill="1" applyAlignment="1">
      <alignment horizontal="center" vertical="center"/>
    </xf>
    <xf numFmtId="0" fontId="31" fillId="12" borderId="0" xfId="0" applyFont="1" applyFill="1" applyAlignment="1">
      <alignment horizontal="left" vertical="center"/>
    </xf>
    <xf numFmtId="0" fontId="33" fillId="14" borderId="0" xfId="0" applyFont="1" applyFill="1" applyAlignment="1">
      <alignment horizontal="left" vertical="center"/>
    </xf>
    <xf numFmtId="0" fontId="34" fillId="15" borderId="0" xfId="0" applyFont="1" applyFill="1" applyAlignment="1">
      <alignment horizontal="left" vertical="center"/>
    </xf>
    <xf numFmtId="0" fontId="35" fillId="16" borderId="0" xfId="0" applyFont="1" applyFill="1" applyAlignment="1">
      <alignment horizontal="left" vertical="center"/>
    </xf>
    <xf numFmtId="0" fontId="36" fillId="17" borderId="0" xfId="0" applyFont="1" applyFill="1" applyAlignment="1">
      <alignment horizontal="left" vertical="center"/>
    </xf>
    <xf numFmtId="0" fontId="37" fillId="18" borderId="0" xfId="0" applyFont="1" applyFill="1" applyAlignment="1">
      <alignment horizontal="left" vertical="center"/>
    </xf>
    <xf numFmtId="0" fontId="38" fillId="19" borderId="0" xfId="0" applyFont="1" applyFill="1" applyAlignment="1">
      <alignment horizontal="left" vertical="center"/>
    </xf>
    <xf numFmtId="0" fontId="32" fillId="6" borderId="0" xfId="0" applyFont="1" applyFill="1" applyAlignment="1">
      <alignment horizontal="center" vertical="center"/>
    </xf>
    <xf numFmtId="0" fontId="36" fillId="5" borderId="0" xfId="0" applyFont="1" applyFill="1" applyAlignment="1">
      <alignment horizontal="center" vertical="center"/>
    </xf>
    <xf numFmtId="0" fontId="36" fillId="13" borderId="0" xfId="0" applyFont="1" applyFill="1" applyAlignment="1">
      <alignment horizontal="center" vertical="center"/>
    </xf>
    <xf numFmtId="3" fontId="32" fillId="4" borderId="0" xfId="0" applyNumberFormat="1" applyFont="1" applyFill="1" applyAlignment="1">
      <alignment horizontal="center" vertical="center"/>
    </xf>
    <xf numFmtId="0" fontId="19" fillId="5" borderId="0" xfId="0" applyFont="1" applyFill="1" applyAlignment="1">
      <alignment horizontal="center" vertical="center"/>
    </xf>
    <xf numFmtId="4" fontId="36" fillId="5" borderId="0" xfId="0" applyNumberFormat="1" applyFont="1" applyFill="1" applyAlignment="1">
      <alignment horizontal="right" vertical="center"/>
    </xf>
    <xf numFmtId="0" fontId="19" fillId="13" borderId="0" xfId="0" applyFont="1" applyFill="1" applyAlignment="1">
      <alignment horizontal="center" vertical="center"/>
    </xf>
    <xf numFmtId="4" fontId="36" fillId="13" borderId="0" xfId="0" applyNumberFormat="1" applyFont="1" applyFill="1" applyAlignment="1">
      <alignment horizontal="right" vertical="center"/>
    </xf>
    <xf numFmtId="0" fontId="32" fillId="23" borderId="0" xfId="0" applyFont="1" applyFill="1" applyAlignment="1">
      <alignment horizontal="left" vertical="center"/>
    </xf>
    <xf numFmtId="0" fontId="0" fillId="23" borderId="0" xfId="0" applyFill="1"/>
    <xf numFmtId="0" fontId="5" fillId="23" borderId="0" xfId="0" applyFont="1" applyFill="1" applyAlignment="1">
      <alignment horizontal="center"/>
    </xf>
    <xf numFmtId="9" fontId="5" fillId="23" borderId="0" xfId="1" applyFont="1" applyFill="1" applyAlignment="1">
      <alignment horizontal="center"/>
    </xf>
    <xf numFmtId="166" fontId="0" fillId="0" borderId="0" xfId="2" applyNumberFormat="1" applyFont="1"/>
    <xf numFmtId="43" fontId="0" fillId="0" borderId="0" xfId="0" applyNumberFormat="1"/>
    <xf numFmtId="0" fontId="0" fillId="0" borderId="27" xfId="0" applyBorder="1"/>
    <xf numFmtId="0" fontId="3" fillId="0" borderId="32" xfId="0" applyFont="1" applyBorder="1"/>
    <xf numFmtId="6" fontId="0" fillId="0" borderId="9" xfId="0" applyNumberFormat="1" applyBorder="1"/>
    <xf numFmtId="0" fontId="3" fillId="0" borderId="33" xfId="0" applyFont="1" applyBorder="1"/>
    <xf numFmtId="6" fontId="0" fillId="0" borderId="21" xfId="0" applyNumberFormat="1" applyBorder="1"/>
    <xf numFmtId="0" fontId="1" fillId="0" borderId="34" xfId="0" applyFont="1" applyBorder="1" applyAlignment="1">
      <alignment horizontal="center"/>
    </xf>
    <xf numFmtId="0" fontId="4" fillId="3" borderId="33" xfId="0" applyFont="1" applyFill="1" applyBorder="1"/>
    <xf numFmtId="6" fontId="5" fillId="3" borderId="21" xfId="0" applyNumberFormat="1" applyFont="1" applyFill="1" applyBorder="1"/>
    <xf numFmtId="0" fontId="4" fillId="3" borderId="34" xfId="0" applyFont="1" applyFill="1" applyBorder="1"/>
    <xf numFmtId="6" fontId="5" fillId="3" borderId="15" xfId="0" applyNumberFormat="1" applyFont="1" applyFill="1" applyBorder="1"/>
    <xf numFmtId="0" fontId="3" fillId="0" borderId="35" xfId="0" applyFont="1" applyBorder="1" applyAlignment="1">
      <alignment horizontal="center"/>
    </xf>
    <xf numFmtId="164" fontId="3" fillId="0" borderId="36" xfId="0" applyNumberFormat="1" applyFont="1" applyBorder="1" applyAlignment="1">
      <alignment horizontal="center" vertical="center" wrapText="1"/>
    </xf>
    <xf numFmtId="0" fontId="3" fillId="0" borderId="28" xfId="0" applyFont="1" applyBorder="1"/>
    <xf numFmtId="6" fontId="0" fillId="0" borderId="28" xfId="0" applyNumberFormat="1" applyBorder="1"/>
    <xf numFmtId="9" fontId="3" fillId="0" borderId="29" xfId="0" applyNumberFormat="1" applyFont="1" applyBorder="1" applyAlignment="1">
      <alignment horizontal="center"/>
    </xf>
    <xf numFmtId="0" fontId="3" fillId="0" borderId="29" xfId="0" applyFont="1" applyBorder="1" applyAlignment="1">
      <alignment horizontal="center"/>
    </xf>
    <xf numFmtId="9" fontId="3" fillId="0" borderId="30" xfId="0" applyNumberFormat="1" applyFont="1" applyBorder="1" applyAlignment="1">
      <alignment horizontal="center"/>
    </xf>
    <xf numFmtId="0" fontId="3" fillId="0" borderId="31" xfId="0" applyFont="1" applyBorder="1" applyAlignment="1">
      <alignment horizontal="center"/>
    </xf>
    <xf numFmtId="0" fontId="3" fillId="0" borderId="37" xfId="0" applyFont="1" applyBorder="1"/>
    <xf numFmtId="6" fontId="0" fillId="0" borderId="25" xfId="0" applyNumberFormat="1" applyBorder="1"/>
    <xf numFmtId="0" fontId="4" fillId="3" borderId="12" xfId="0" applyFont="1" applyFill="1" applyBorder="1"/>
    <xf numFmtId="6" fontId="5" fillId="3" borderId="12" xfId="0" applyNumberFormat="1" applyFont="1" applyFill="1" applyBorder="1"/>
    <xf numFmtId="9" fontId="4" fillId="3" borderId="12" xfId="0" applyNumberFormat="1" applyFont="1" applyFill="1" applyBorder="1" applyAlignment="1">
      <alignment horizontal="center"/>
    </xf>
    <xf numFmtId="0" fontId="4" fillId="3" borderId="12" xfId="0" applyFont="1" applyFill="1" applyBorder="1" applyAlignment="1">
      <alignment horizontal="center"/>
    </xf>
    <xf numFmtId="164" fontId="3" fillId="0" borderId="12" xfId="0" applyNumberFormat="1" applyFont="1" applyBorder="1" applyAlignment="1">
      <alignment horizontal="center" vertical="center" wrapText="1"/>
    </xf>
    <xf numFmtId="0" fontId="0" fillId="0" borderId="18" xfId="0" applyBorder="1"/>
    <xf numFmtId="0" fontId="0" fillId="0" borderId="24" xfId="0" applyBorder="1"/>
    <xf numFmtId="0" fontId="6" fillId="4" borderId="0" xfId="0" applyFont="1" applyFill="1" applyAlignment="1">
      <alignment horizontal="center" vertical="center"/>
    </xf>
    <xf numFmtId="0" fontId="0" fillId="0" borderId="0" xfId="0"/>
    <xf numFmtId="0" fontId="8" fillId="8" borderId="0" xfId="0" applyFont="1" applyFill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13" fillId="7" borderId="0" xfId="0" applyFont="1" applyFill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15" fillId="7" borderId="0" xfId="0" applyFont="1" applyFill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27" fillId="5" borderId="0" xfId="0" applyFont="1" applyFill="1" applyAlignment="1">
      <alignment horizontal="center" vertical="center"/>
    </xf>
    <xf numFmtId="0" fontId="29" fillId="13" borderId="0" xfId="0" applyFont="1" applyFill="1" applyAlignment="1">
      <alignment horizontal="left" vertical="center" wrapText="1"/>
    </xf>
    <xf numFmtId="0" fontId="39" fillId="4" borderId="0" xfId="0" applyFont="1" applyFill="1" applyAlignment="1">
      <alignment horizontal="center" vertical="center"/>
    </xf>
    <xf numFmtId="0" fontId="32" fillId="4" borderId="0" xfId="0" applyFont="1" applyFill="1" applyAlignment="1">
      <alignment horizontal="center" vertical="center"/>
    </xf>
    <xf numFmtId="0" fontId="29" fillId="5" borderId="0" xfId="0" applyFont="1" applyFill="1" applyAlignment="1">
      <alignment horizontal="left" vertical="center" wrapText="1"/>
    </xf>
    <xf numFmtId="0" fontId="41" fillId="7" borderId="0" xfId="0" applyFont="1" applyFill="1" applyAlignment="1">
      <alignment horizontal="center" vertical="center"/>
    </xf>
    <xf numFmtId="0" fontId="49" fillId="4" borderId="0" xfId="0" applyFont="1" applyFill="1" applyAlignment="1">
      <alignment horizontal="center" vertical="center"/>
    </xf>
    <xf numFmtId="0" fontId="32" fillId="6" borderId="0" xfId="0" applyFont="1" applyFill="1" applyAlignment="1">
      <alignment horizontal="center" vertical="center"/>
    </xf>
    <xf numFmtId="0" fontId="43" fillId="7" borderId="0" xfId="0" applyFont="1" applyFill="1" applyAlignment="1">
      <alignment horizontal="center" vertical="center"/>
    </xf>
    <xf numFmtId="0" fontId="45" fillId="7" borderId="0" xfId="0" applyFont="1" applyFill="1" applyAlignment="1">
      <alignment horizontal="center" vertical="center"/>
    </xf>
    <xf numFmtId="0" fontId="47" fillId="7" borderId="0" xfId="0" applyFont="1" applyFill="1" applyAlignment="1">
      <alignment horizontal="center" vertical="center"/>
    </xf>
    <xf numFmtId="0" fontId="32" fillId="11" borderId="0" xfId="0" applyFont="1" applyFill="1" applyAlignment="1">
      <alignment horizontal="center" vertical="center"/>
    </xf>
    <xf numFmtId="0" fontId="48" fillId="11" borderId="0" xfId="0" applyFont="1" applyFill="1" applyAlignment="1">
      <alignment horizontal="center" vertical="center"/>
    </xf>
    <xf numFmtId="0" fontId="40" fillId="7" borderId="0" xfId="0" applyFont="1" applyFill="1" applyAlignment="1">
      <alignment horizontal="center" vertical="center"/>
    </xf>
    <xf numFmtId="0" fontId="32" fillId="8" borderId="0" xfId="0" applyFont="1" applyFill="1" applyAlignment="1">
      <alignment horizontal="center" vertical="center"/>
    </xf>
    <xf numFmtId="0" fontId="42" fillId="7" borderId="0" xfId="0" applyFont="1" applyFill="1" applyAlignment="1">
      <alignment horizontal="center" vertical="center"/>
    </xf>
    <xf numFmtId="0" fontId="44" fillId="7" borderId="0" xfId="0" applyFont="1" applyFill="1" applyAlignment="1">
      <alignment horizontal="center" vertical="center"/>
    </xf>
    <xf numFmtId="0" fontId="32" fillId="9" borderId="0" xfId="0" applyFont="1" applyFill="1" applyAlignment="1">
      <alignment horizontal="center" vertical="center"/>
    </xf>
    <xf numFmtId="0" fontId="32" fillId="10" borderId="0" xfId="0" applyFont="1" applyFill="1" applyAlignment="1">
      <alignment horizontal="center" vertical="center"/>
    </xf>
    <xf numFmtId="0" fontId="46" fillId="7" borderId="0" xfId="0" applyFont="1" applyFill="1" applyAlignment="1">
      <alignment horizontal="center" vertical="center"/>
    </xf>
    <xf numFmtId="0" fontId="32" fillId="12" borderId="0" xfId="0" applyFont="1" applyFill="1" applyAlignment="1">
      <alignment horizontal="center" vertical="center"/>
    </xf>
    <xf numFmtId="0" fontId="51" fillId="12" borderId="0" xfId="0" applyFont="1" applyFill="1" applyAlignment="1">
      <alignment horizontal="center" vertical="center"/>
    </xf>
    <xf numFmtId="0" fontId="50" fillId="7" borderId="0" xfId="0" applyFont="1" applyFill="1" applyAlignment="1">
      <alignment horizontal="center" vertical="center"/>
    </xf>
    <xf numFmtId="0" fontId="32" fillId="14" borderId="0" xfId="0" applyFont="1" applyFill="1" applyAlignment="1">
      <alignment horizontal="center" vertical="center"/>
    </xf>
    <xf numFmtId="0" fontId="53" fillId="14" borderId="0" xfId="0" applyFont="1" applyFill="1" applyAlignment="1">
      <alignment horizontal="center" vertical="center"/>
    </xf>
    <xf numFmtId="0" fontId="52" fillId="7" borderId="0" xfId="0" applyFont="1" applyFill="1" applyAlignment="1">
      <alignment horizontal="center" vertical="center"/>
    </xf>
    <xf numFmtId="0" fontId="32" fillId="15" borderId="0" xfId="0" applyFont="1" applyFill="1" applyAlignment="1">
      <alignment horizontal="center" vertical="center"/>
    </xf>
    <xf numFmtId="0" fontId="54" fillId="15" borderId="0" xfId="0" applyFont="1" applyFill="1" applyAlignment="1">
      <alignment horizontal="center" vertical="center"/>
    </xf>
    <xf numFmtId="0" fontId="32" fillId="16" borderId="0" xfId="0" applyFont="1" applyFill="1" applyAlignment="1">
      <alignment horizontal="center" vertical="center"/>
    </xf>
    <xf numFmtId="0" fontId="56" fillId="16" borderId="0" xfId="0" applyFont="1" applyFill="1" applyAlignment="1">
      <alignment horizontal="center" vertical="center"/>
    </xf>
    <xf numFmtId="0" fontId="55" fillId="7" borderId="0" xfId="0" applyFont="1" applyFill="1" applyAlignment="1">
      <alignment horizontal="center" vertical="center"/>
    </xf>
    <xf numFmtId="0" fontId="32" fillId="20" borderId="0" xfId="0" applyFont="1" applyFill="1" applyAlignment="1">
      <alignment horizontal="center" vertical="center"/>
    </xf>
    <xf numFmtId="0" fontId="32" fillId="17" borderId="0" xfId="0" applyFont="1" applyFill="1" applyAlignment="1">
      <alignment horizontal="center" vertical="center"/>
    </xf>
    <xf numFmtId="0" fontId="59" fillId="17" borderId="0" xfId="0" applyFont="1" applyFill="1" applyAlignment="1">
      <alignment horizontal="center" vertical="center"/>
    </xf>
    <xf numFmtId="0" fontId="57" fillId="7" borderId="0" xfId="0" applyFont="1" applyFill="1" applyAlignment="1">
      <alignment horizontal="center" vertical="center"/>
    </xf>
    <xf numFmtId="0" fontId="58" fillId="7" borderId="0" xfId="0" applyFont="1" applyFill="1" applyAlignment="1">
      <alignment horizontal="center" vertical="center"/>
    </xf>
    <xf numFmtId="0" fontId="32" fillId="21" borderId="0" xfId="0" applyFont="1" applyFill="1" applyAlignment="1">
      <alignment horizontal="center" vertical="center"/>
    </xf>
    <xf numFmtId="0" fontId="32" fillId="18" borderId="0" xfId="0" applyFont="1" applyFill="1" applyAlignment="1">
      <alignment horizontal="center" vertical="center"/>
    </xf>
    <xf numFmtId="0" fontId="62" fillId="18" borderId="0" xfId="0" applyFont="1" applyFill="1" applyAlignment="1">
      <alignment horizontal="center" vertical="center"/>
    </xf>
    <xf numFmtId="0" fontId="60" fillId="7" borderId="0" xfId="0" applyFont="1" applyFill="1" applyAlignment="1">
      <alignment horizontal="center" vertical="center"/>
    </xf>
    <xf numFmtId="0" fontId="61" fillId="7" borderId="0" xfId="0" applyFont="1" applyFill="1" applyAlignment="1">
      <alignment horizontal="center" vertical="center"/>
    </xf>
    <xf numFmtId="0" fontId="32" fillId="22" borderId="0" xfId="0" applyFont="1" applyFill="1" applyAlignment="1">
      <alignment horizontal="center" vertical="center"/>
    </xf>
    <xf numFmtId="0" fontId="65" fillId="19" borderId="0" xfId="0" applyFont="1" applyFill="1" applyAlignment="1">
      <alignment horizontal="center" vertical="center"/>
    </xf>
    <xf numFmtId="0" fontId="64" fillId="7" borderId="0" xfId="0" applyFont="1" applyFill="1" applyAlignment="1">
      <alignment horizontal="center" vertical="center"/>
    </xf>
    <xf numFmtId="0" fontId="63" fillId="7" borderId="0" xfId="0" applyFont="1" applyFill="1" applyAlignment="1">
      <alignment horizontal="center" vertical="center"/>
    </xf>
    <xf numFmtId="0" fontId="32" fillId="19" borderId="0" xfId="0" applyFont="1" applyFill="1" applyAlignment="1">
      <alignment horizontal="center" vertical="center"/>
    </xf>
  </cellXfs>
  <cellStyles count="3">
    <cellStyle name="Millares" xfId="2" builtinId="3"/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anus%20I5\Downloads\Ventas%20y%20pedidos_export_20260522_121634.xlsx" TargetMode="External"/><Relationship Id="rId1" Type="http://schemas.openxmlformats.org/officeDocument/2006/relationships/externalLinkPath" Target="/Users/Janus%20I5/Downloads/Ventas%20y%20pedidos_export_20260522_12163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data"/>
    </sheetNames>
    <sheetDataSet>
      <sheetData sheetId="0">
        <row r="4">
          <cell r="A4" t="str">
            <v>1108 CRISTIAN COTAZO</v>
          </cell>
          <cell r="B4">
            <v>7</v>
          </cell>
        </row>
        <row r="5">
          <cell r="A5" t="str">
            <v>1109 NAVIA LOPEZ HAROLD</v>
          </cell>
          <cell r="B5">
            <v>9</v>
          </cell>
        </row>
        <row r="6">
          <cell r="A6" t="str">
            <v>1404 JHON JAIME SANCHEZ</v>
          </cell>
          <cell r="B6">
            <v>15</v>
          </cell>
        </row>
        <row r="7">
          <cell r="A7" t="str">
            <v>1406 KEVIN ALEXANDER ORTIZ BADOS</v>
          </cell>
          <cell r="B7">
            <v>17</v>
          </cell>
        </row>
        <row r="8">
          <cell r="A8" t="str">
            <v>1407 SANTIAGO OTERO</v>
          </cell>
          <cell r="B8">
            <v>17</v>
          </cell>
        </row>
        <row r="9">
          <cell r="A9" t="str">
            <v>1410 JUAN MANUEL SILVA</v>
          </cell>
          <cell r="B9">
            <v>28</v>
          </cell>
        </row>
        <row r="10">
          <cell r="A10" t="str">
            <v>1411 BETANIA PEÑA</v>
          </cell>
          <cell r="B10">
            <v>17</v>
          </cell>
        </row>
        <row r="11">
          <cell r="A11" t="str">
            <v>1412 JAIRO RUIZ</v>
          </cell>
          <cell r="B11">
            <v>9</v>
          </cell>
        </row>
        <row r="12">
          <cell r="A12" t="str">
            <v>1416 JOSE LUIS ARTEAGA</v>
          </cell>
          <cell r="B12">
            <v>14</v>
          </cell>
        </row>
        <row r="13">
          <cell r="A13" t="str">
            <v>1417 AREVALO DUARTE CARLOS ALBERTO</v>
          </cell>
          <cell r="B13">
            <v>16</v>
          </cell>
        </row>
        <row r="14">
          <cell r="A14" t="str">
            <v>2001 LEYDI CAROLINA VICTORIA OJEDA</v>
          </cell>
          <cell r="B14">
            <v>14</v>
          </cell>
        </row>
        <row r="15">
          <cell r="A15" t="str">
            <v>2003 MAYI KATERINE PEREZ ORTIZ</v>
          </cell>
          <cell r="B15">
            <v>24</v>
          </cell>
        </row>
        <row r="16">
          <cell r="A16" t="str">
            <v>2004 NICOL CRUZ</v>
          </cell>
          <cell r="B16">
            <v>18</v>
          </cell>
        </row>
        <row r="17">
          <cell r="A17" t="str">
            <v>2006 CRISTIAN CALLE</v>
          </cell>
          <cell r="B17">
            <v>23</v>
          </cell>
        </row>
        <row r="18">
          <cell r="A18" t="str">
            <v>4006 LINA TRUJILLO</v>
          </cell>
          <cell r="B18">
            <v>29</v>
          </cell>
        </row>
        <row r="19">
          <cell r="A19" t="str">
            <v>4007 ANGELA AMPUDIA MOLINA</v>
          </cell>
          <cell r="B19">
            <v>13</v>
          </cell>
        </row>
        <row r="20">
          <cell r="A20" t="str">
            <v>4009 STEPHANIE MUNÑOZ</v>
          </cell>
          <cell r="B20">
            <v>25</v>
          </cell>
        </row>
        <row r="21">
          <cell r="A21" t="str">
            <v>6001 SUSANA NOGUERA</v>
          </cell>
          <cell r="B21">
            <v>11</v>
          </cell>
        </row>
        <row r="22">
          <cell r="A22" t="str">
            <v>6002 STEFANY ALEJANDRA VILLAREAL</v>
          </cell>
          <cell r="B22">
            <v>13</v>
          </cell>
        </row>
        <row r="23">
          <cell r="A23" t="str">
            <v>6003 MAURICIO VIVAS RUIZ</v>
          </cell>
          <cell r="B23">
            <v>11</v>
          </cell>
        </row>
        <row r="24">
          <cell r="A24" t="str">
            <v>6006 SANTIAGO IMBACHI JOAQUI</v>
          </cell>
          <cell r="B24">
            <v>17</v>
          </cell>
        </row>
        <row r="25">
          <cell r="A25" t="str">
            <v>6007 MEYER MUÑOZ</v>
          </cell>
          <cell r="B25">
            <v>12</v>
          </cell>
        </row>
        <row r="26">
          <cell r="A26" t="str">
            <v>6009 FABIO VERGARA</v>
          </cell>
          <cell r="B26">
            <v>30</v>
          </cell>
        </row>
        <row r="27">
          <cell r="A27" t="str">
            <v>6010 ALEJANDRO CIFUENTES GAMBOA</v>
          </cell>
          <cell r="B27">
            <v>14</v>
          </cell>
        </row>
        <row r="28">
          <cell r="A28" t="str">
            <v>6011 FERNANDO CHAGUENDO</v>
          </cell>
          <cell r="B28">
            <v>6</v>
          </cell>
        </row>
        <row r="29">
          <cell r="A29" t="str">
            <v>9001 VICTOR MANUEL GEMBUEL YANDI</v>
          </cell>
          <cell r="B29">
            <v>25</v>
          </cell>
        </row>
        <row r="30">
          <cell r="A30" t="str">
            <v>9002 SEBASTIAN MAURICIO MOSQUERA</v>
          </cell>
          <cell r="B30">
            <v>21</v>
          </cell>
        </row>
        <row r="31">
          <cell r="A31" t="str">
            <v>9003  JUAN CAMILO PITO</v>
          </cell>
          <cell r="B31">
            <v>15</v>
          </cell>
        </row>
        <row r="32">
          <cell r="A32" t="str">
            <v>9004 VICTOR CIFUENTES</v>
          </cell>
          <cell r="B32">
            <v>26</v>
          </cell>
        </row>
        <row r="33">
          <cell r="A33" t="str">
            <v>9006 LAURA INES GARCIA</v>
          </cell>
          <cell r="B33">
            <v>19</v>
          </cell>
        </row>
        <row r="34">
          <cell r="A34" t="str">
            <v>9007 MARIA CRISTINA DIAZ</v>
          </cell>
          <cell r="B34">
            <v>18</v>
          </cell>
        </row>
        <row r="35">
          <cell r="A35" t="str">
            <v>9008 DORIS ROSAS MONCADA</v>
          </cell>
          <cell r="B35">
            <v>15</v>
          </cell>
        </row>
        <row r="36">
          <cell r="A36" t="str">
            <v>9009 FREYDER SEBASTIAN ROSERO GOMEZ</v>
          </cell>
          <cell r="B36">
            <v>15</v>
          </cell>
        </row>
        <row r="37">
          <cell r="A37" t="str">
            <v>9025 ANDERSON PAJOY</v>
          </cell>
          <cell r="B37">
            <v>2</v>
          </cell>
        </row>
        <row r="38">
          <cell r="A38" t="str">
            <v>9040 ANGIE PAOLA CHAGUENDO</v>
          </cell>
          <cell r="B38">
            <v>8</v>
          </cell>
        </row>
        <row r="39">
          <cell r="A39" t="str">
            <v>9041 DAVID PERDOMO</v>
          </cell>
          <cell r="B39">
            <v>18</v>
          </cell>
        </row>
        <row r="40">
          <cell r="A40" t="str">
            <v>9042 LEYDI CAROLINA ZUÑIGA CASTILLO</v>
          </cell>
          <cell r="B40">
            <v>16</v>
          </cell>
        </row>
        <row r="41">
          <cell r="A41" t="str">
            <v>9044 ALEXANDRA ERAZO</v>
          </cell>
          <cell r="B41">
            <v>6</v>
          </cell>
        </row>
        <row r="42">
          <cell r="A42" t="str">
            <v>9045 DIANA XIMENA SALAZAR</v>
          </cell>
          <cell r="B42">
            <v>11</v>
          </cell>
        </row>
        <row r="43">
          <cell r="A43" t="str">
            <v>9046 LUIS ALFONSO CAMAYO</v>
          </cell>
          <cell r="B43">
            <v>11</v>
          </cell>
        </row>
        <row r="44">
          <cell r="A44" t="str">
            <v>9047 JUAN CARLOS MORALES</v>
          </cell>
          <cell r="B44">
            <v>10</v>
          </cell>
        </row>
        <row r="45">
          <cell r="A45" t="str">
            <v>9048 ESTEBAN IMBACHI</v>
          </cell>
          <cell r="B45">
            <v>7</v>
          </cell>
        </row>
        <row r="46">
          <cell r="A46" t="str">
            <v>9050 MARIA CAMILA RAMIREZ</v>
          </cell>
          <cell r="B46">
            <v>12</v>
          </cell>
        </row>
        <row r="47">
          <cell r="A47" t="str">
            <v>9051 SORY BOLAÑOS</v>
          </cell>
          <cell r="B47">
            <v>12</v>
          </cell>
        </row>
        <row r="48">
          <cell r="A48" t="str">
            <v>9052 ANA CRISTINA MAGUIÑA ORTIZ</v>
          </cell>
          <cell r="B48">
            <v>13</v>
          </cell>
        </row>
        <row r="49">
          <cell r="A49" t="str">
            <v>9053 LIZETH FERNANDA GUZMAN</v>
          </cell>
          <cell r="B49">
            <v>22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0"/>
  <sheetViews>
    <sheetView tabSelected="1" workbookViewId="0">
      <selection activeCell="D2" sqref="D2"/>
    </sheetView>
  </sheetViews>
  <sheetFormatPr baseColWidth="10" defaultColWidth="8.88671875" defaultRowHeight="14.4" x14ac:dyDescent="0.3"/>
  <cols>
    <col min="1" max="1" width="19.88671875" customWidth="1"/>
    <col min="2" max="2" width="36.88671875" customWidth="1"/>
    <col min="3" max="3" width="17" bestFit="1" customWidth="1"/>
    <col min="4" max="4" width="15.109375" bestFit="1" customWidth="1"/>
    <col min="5" max="5" width="13.21875" customWidth="1"/>
    <col min="7" max="7" width="9.6640625" customWidth="1"/>
    <col min="8" max="8" width="12.6640625" customWidth="1"/>
    <col min="9" max="9" width="7.21875" customWidth="1"/>
    <col min="10" max="10" width="17.44140625" customWidth="1"/>
    <col min="11" max="11" width="14" bestFit="1" customWidth="1"/>
    <col min="12" max="12" width="14.77734375" bestFit="1" customWidth="1"/>
    <col min="13" max="13" width="13.77734375" bestFit="1" customWidth="1"/>
  </cols>
  <sheetData>
    <row r="1" spans="1:13" ht="51" customHeight="1" thickBot="1" x14ac:dyDescent="0.35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5" t="s">
        <v>5</v>
      </c>
      <c r="G1" s="5" t="s">
        <v>6</v>
      </c>
      <c r="H1" s="6" t="s">
        <v>7</v>
      </c>
      <c r="I1" s="7" t="s">
        <v>8</v>
      </c>
      <c r="J1" s="8" t="s">
        <v>9</v>
      </c>
    </row>
    <row r="2" spans="1:13" ht="16.2" customHeight="1" thickBot="1" x14ac:dyDescent="0.35">
      <c r="A2" s="9" t="s">
        <v>10</v>
      </c>
      <c r="B2" s="10" t="s">
        <v>11</v>
      </c>
      <c r="C2" s="11">
        <v>4268013.2768000001</v>
      </c>
      <c r="D2" s="110">
        <v>1143593.3799999999</v>
      </c>
      <c r="E2" s="12">
        <f t="shared" ref="E2:E36" si="0">D2/C2</f>
        <v>0.26794513180554685</v>
      </c>
      <c r="F2" s="13">
        <v>15</v>
      </c>
      <c r="G2" s="110">
        <v>5</v>
      </c>
      <c r="H2" s="14">
        <f t="shared" ref="H2:H36" si="1">G2/F2</f>
        <v>0.33333333333333331</v>
      </c>
      <c r="I2" s="15">
        <f t="shared" ref="I2:I36" si="2">F2-G2</f>
        <v>10</v>
      </c>
      <c r="J2" s="134">
        <f>D2+D3</f>
        <v>3859531.17</v>
      </c>
      <c r="K2">
        <f>IFERROR(VLOOKUP(B2,[1]Hoja1!$A$4:$B$49,2,),0)</f>
        <v>7</v>
      </c>
      <c r="L2" s="108"/>
      <c r="M2" s="109"/>
    </row>
    <row r="3" spans="1:13" ht="16.2" customHeight="1" thickBot="1" x14ac:dyDescent="0.35">
      <c r="A3" s="16" t="s">
        <v>10</v>
      </c>
      <c r="B3" s="17" t="s">
        <v>12</v>
      </c>
      <c r="C3" s="18">
        <v>5782400</v>
      </c>
      <c r="D3" s="110">
        <v>2715937.79</v>
      </c>
      <c r="E3" s="19">
        <f t="shared" si="0"/>
        <v>0.46969040363862757</v>
      </c>
      <c r="F3" s="20">
        <v>15</v>
      </c>
      <c r="G3" s="110">
        <v>8</v>
      </c>
      <c r="H3" s="21">
        <f t="shared" si="1"/>
        <v>0.53333333333333333</v>
      </c>
      <c r="I3" s="22">
        <f t="shared" si="2"/>
        <v>7</v>
      </c>
      <c r="J3" s="135"/>
      <c r="K3">
        <f>IFERROR(VLOOKUP(B3,[1]Hoja1!$A$4:$B$49,2,),0)</f>
        <v>9</v>
      </c>
      <c r="L3" s="108"/>
      <c r="M3" s="109"/>
    </row>
    <row r="4" spans="1:13" ht="16.2" customHeight="1" thickBot="1" x14ac:dyDescent="0.35">
      <c r="A4" s="9" t="s">
        <v>13</v>
      </c>
      <c r="B4" s="10" t="s">
        <v>14</v>
      </c>
      <c r="C4" s="11">
        <v>3912073.1343425158</v>
      </c>
      <c r="D4" s="110">
        <v>1416113.58</v>
      </c>
      <c r="E4" s="12">
        <f t="shared" si="0"/>
        <v>0.36198545665430149</v>
      </c>
      <c r="F4" s="13">
        <v>35</v>
      </c>
      <c r="G4" s="110">
        <v>20</v>
      </c>
      <c r="H4" s="14">
        <f t="shared" si="1"/>
        <v>0.5714285714285714</v>
      </c>
      <c r="I4" s="15">
        <f t="shared" si="2"/>
        <v>15</v>
      </c>
      <c r="J4" s="134">
        <f>SUM(D4:D11)</f>
        <v>23506197.149999999</v>
      </c>
      <c r="K4">
        <f>IFERROR(VLOOKUP(B4,[1]Hoja1!$A$4:$B$49,2,),0)</f>
        <v>15</v>
      </c>
      <c r="L4" s="108"/>
      <c r="M4" s="109"/>
    </row>
    <row r="5" spans="1:13" ht="16.2" customHeight="1" x14ac:dyDescent="0.3">
      <c r="A5" s="23" t="s">
        <v>13</v>
      </c>
      <c r="B5" s="24" t="s">
        <v>15</v>
      </c>
      <c r="C5" s="25">
        <v>3557632.3618512237</v>
      </c>
      <c r="D5" s="110">
        <v>2114215.6199999996</v>
      </c>
      <c r="E5" s="27">
        <f t="shared" si="0"/>
        <v>0.59427602544627789</v>
      </c>
      <c r="F5" s="28">
        <v>35</v>
      </c>
      <c r="G5" s="110">
        <v>28</v>
      </c>
      <c r="H5" s="29">
        <f t="shared" si="1"/>
        <v>0.8</v>
      </c>
      <c r="I5" s="30">
        <f t="shared" si="2"/>
        <v>7</v>
      </c>
      <c r="J5" s="136"/>
      <c r="K5">
        <f>IFERROR(VLOOKUP(B5,[1]Hoja1!$A$4:$B$49,2,),0)</f>
        <v>17</v>
      </c>
      <c r="L5" s="108"/>
      <c r="M5" s="109"/>
    </row>
    <row r="6" spans="1:13" ht="16.2" customHeight="1" x14ac:dyDescent="0.3">
      <c r="A6" s="23" t="s">
        <v>16</v>
      </c>
      <c r="B6" s="31" t="s">
        <v>178</v>
      </c>
      <c r="C6" s="32">
        <v>4352260.4017633554</v>
      </c>
      <c r="D6" s="110">
        <v>4412714.58</v>
      </c>
      <c r="E6" s="33">
        <f t="shared" si="0"/>
        <v>1.0138902943886701</v>
      </c>
      <c r="F6" s="34">
        <v>25</v>
      </c>
      <c r="G6" s="110">
        <v>25</v>
      </c>
      <c r="H6" s="35">
        <f t="shared" si="1"/>
        <v>1</v>
      </c>
      <c r="I6" s="36">
        <f t="shared" si="2"/>
        <v>0</v>
      </c>
      <c r="J6" s="136"/>
      <c r="K6">
        <f>IFERROR(VLOOKUP(B6,[1]Hoja1!$A$4:$B$49,2,),0)</f>
        <v>17</v>
      </c>
      <c r="L6" s="108"/>
      <c r="M6" s="109"/>
    </row>
    <row r="7" spans="1:13" ht="16.2" customHeight="1" x14ac:dyDescent="0.3">
      <c r="A7" s="23" t="s">
        <v>16</v>
      </c>
      <c r="B7" s="31" t="s">
        <v>180</v>
      </c>
      <c r="C7" s="32">
        <v>2949191.3751801224</v>
      </c>
      <c r="D7" s="110">
        <v>2842427.23</v>
      </c>
      <c r="E7" s="33">
        <f t="shared" si="0"/>
        <v>0.96379884124216864</v>
      </c>
      <c r="F7" s="34">
        <v>35</v>
      </c>
      <c r="G7" s="110">
        <v>31</v>
      </c>
      <c r="H7" s="35">
        <f t="shared" si="1"/>
        <v>0.88571428571428568</v>
      </c>
      <c r="I7" s="36">
        <f t="shared" si="2"/>
        <v>4</v>
      </c>
      <c r="J7" s="136"/>
      <c r="K7">
        <f>IFERROR(VLOOKUP(B7,[1]Hoja1!$A$4:$B$49,2,),0)</f>
        <v>28</v>
      </c>
      <c r="L7" s="108"/>
      <c r="M7" s="109"/>
    </row>
    <row r="8" spans="1:13" ht="16.2" customHeight="1" x14ac:dyDescent="0.3">
      <c r="A8" s="23" t="s">
        <v>13</v>
      </c>
      <c r="B8" s="24" t="s">
        <v>17</v>
      </c>
      <c r="C8" s="25">
        <v>3599832.4226795579</v>
      </c>
      <c r="D8" s="110">
        <v>2474427.89</v>
      </c>
      <c r="E8" s="27">
        <f t="shared" si="0"/>
        <v>0.68737307726067542</v>
      </c>
      <c r="F8" s="28">
        <v>35</v>
      </c>
      <c r="G8" s="110">
        <v>23</v>
      </c>
      <c r="H8" s="29">
        <f t="shared" si="1"/>
        <v>0.65714285714285714</v>
      </c>
      <c r="I8" s="30">
        <f t="shared" si="2"/>
        <v>12</v>
      </c>
      <c r="J8" s="136"/>
      <c r="K8">
        <f>IFERROR(VLOOKUP(B8,[1]Hoja1!$A$4:$B$49,2,),0)</f>
        <v>17</v>
      </c>
      <c r="L8" s="108"/>
      <c r="M8" s="109"/>
    </row>
    <row r="9" spans="1:13" ht="16.2" customHeight="1" x14ac:dyDescent="0.3">
      <c r="A9" s="23" t="s">
        <v>13</v>
      </c>
      <c r="B9" s="24" t="s">
        <v>18</v>
      </c>
      <c r="C9" s="25">
        <v>4051883.2924698438</v>
      </c>
      <c r="D9" s="110">
        <v>6767658.1399999997</v>
      </c>
      <c r="E9" s="27">
        <f t="shared" si="0"/>
        <v>1.6702500174615698</v>
      </c>
      <c r="F9" s="28">
        <v>25</v>
      </c>
      <c r="G9" s="110">
        <v>11</v>
      </c>
      <c r="H9" s="29">
        <f t="shared" si="1"/>
        <v>0.44</v>
      </c>
      <c r="I9" s="30">
        <f t="shared" si="2"/>
        <v>14</v>
      </c>
      <c r="J9" s="136"/>
      <c r="K9">
        <f>IFERROR(VLOOKUP(B9,[1]Hoja1!$A$4:$B$49,2,),0)</f>
        <v>9</v>
      </c>
      <c r="L9" s="108"/>
      <c r="M9" s="109"/>
    </row>
    <row r="10" spans="1:13" ht="16.2" customHeight="1" x14ac:dyDescent="0.3">
      <c r="A10" s="23" t="s">
        <v>13</v>
      </c>
      <c r="B10" s="24" t="s">
        <v>19</v>
      </c>
      <c r="C10" s="25">
        <v>4501003.6550359493</v>
      </c>
      <c r="D10" s="110">
        <v>1629101.3800000001</v>
      </c>
      <c r="E10" s="27">
        <f t="shared" si="0"/>
        <v>0.36194180339695559</v>
      </c>
      <c r="F10" s="28">
        <v>35</v>
      </c>
      <c r="G10" s="110">
        <v>22</v>
      </c>
      <c r="H10" s="29">
        <f t="shared" si="1"/>
        <v>0.62857142857142856</v>
      </c>
      <c r="I10" s="30">
        <f t="shared" si="2"/>
        <v>13</v>
      </c>
      <c r="J10" s="136"/>
      <c r="K10">
        <f>IFERROR(VLOOKUP(B10,[1]Hoja1!$A$4:$B$49,2,),0)</f>
        <v>14</v>
      </c>
      <c r="L10" s="108"/>
      <c r="M10" s="109"/>
    </row>
    <row r="11" spans="1:13" ht="16.2" customHeight="1" thickBot="1" x14ac:dyDescent="0.35">
      <c r="A11" s="16" t="s">
        <v>13</v>
      </c>
      <c r="B11" s="17" t="s">
        <v>20</v>
      </c>
      <c r="C11" s="18">
        <v>4068123.3459541583</v>
      </c>
      <c r="D11" s="110">
        <v>1849538.73</v>
      </c>
      <c r="E11" s="19">
        <f t="shared" si="0"/>
        <v>0.45464175314138605</v>
      </c>
      <c r="F11" s="20">
        <v>35</v>
      </c>
      <c r="G11" s="110">
        <v>21</v>
      </c>
      <c r="H11" s="21">
        <f t="shared" si="1"/>
        <v>0.6</v>
      </c>
      <c r="I11" s="22">
        <f t="shared" si="2"/>
        <v>14</v>
      </c>
      <c r="J11" s="135"/>
      <c r="K11">
        <f>IFERROR(VLOOKUP(B11,[1]Hoja1!$A$4:$B$49,2,),0)</f>
        <v>16</v>
      </c>
      <c r="L11" s="108"/>
      <c r="M11" s="109"/>
    </row>
    <row r="12" spans="1:13" ht="16.2" customHeight="1" thickBot="1" x14ac:dyDescent="0.35">
      <c r="A12" s="9" t="s">
        <v>21</v>
      </c>
      <c r="B12" s="10" t="s">
        <v>22</v>
      </c>
      <c r="C12" s="11">
        <v>2115234.3998289602</v>
      </c>
      <c r="D12" s="110">
        <v>1066890.82</v>
      </c>
      <c r="E12" s="12">
        <f t="shared" si="0"/>
        <v>0.50438420445803545</v>
      </c>
      <c r="F12" s="13">
        <v>35</v>
      </c>
      <c r="G12" s="110">
        <v>18</v>
      </c>
      <c r="H12" s="14">
        <f t="shared" si="1"/>
        <v>0.51428571428571423</v>
      </c>
      <c r="I12" s="15">
        <f t="shared" si="2"/>
        <v>17</v>
      </c>
      <c r="J12" s="134">
        <f>SUM(D12:D19)</f>
        <v>14105773.039999999</v>
      </c>
      <c r="K12">
        <f>IFERROR(VLOOKUP(B12,[1]Hoja1!$A$4:$B$49,2,),0)</f>
        <v>14</v>
      </c>
      <c r="L12" s="108"/>
      <c r="M12" s="109"/>
    </row>
    <row r="13" spans="1:13" ht="16.2" customHeight="1" x14ac:dyDescent="0.3">
      <c r="A13" s="23" t="s">
        <v>21</v>
      </c>
      <c r="B13" s="24" t="s">
        <v>23</v>
      </c>
      <c r="C13" s="25">
        <v>2350449.4213981228</v>
      </c>
      <c r="D13" s="110">
        <v>2279179.2400000002</v>
      </c>
      <c r="E13" s="27">
        <f t="shared" si="0"/>
        <v>0.96967806209770357</v>
      </c>
      <c r="F13" s="28">
        <v>35</v>
      </c>
      <c r="G13" s="110">
        <v>28</v>
      </c>
      <c r="H13" s="29">
        <f t="shared" si="1"/>
        <v>0.8</v>
      </c>
      <c r="I13" s="30">
        <f t="shared" si="2"/>
        <v>7</v>
      </c>
      <c r="J13" s="136"/>
      <c r="K13">
        <f>IFERROR(VLOOKUP(B13,[1]Hoja1!$A$4:$B$49,2,),0)</f>
        <v>24</v>
      </c>
      <c r="L13" s="108"/>
      <c r="M13" s="109"/>
    </row>
    <row r="14" spans="1:13" ht="16.2" customHeight="1" x14ac:dyDescent="0.3">
      <c r="A14" s="23" t="s">
        <v>21</v>
      </c>
      <c r="B14" s="24" t="s">
        <v>182</v>
      </c>
      <c r="C14" s="25">
        <v>2027779.2395152654</v>
      </c>
      <c r="D14" s="110">
        <v>852615</v>
      </c>
      <c r="E14" s="27">
        <f t="shared" si="0"/>
        <v>0.42046736813609703</v>
      </c>
      <c r="F14" s="28">
        <v>35</v>
      </c>
      <c r="G14" s="110">
        <v>21</v>
      </c>
      <c r="H14" s="29">
        <f t="shared" si="1"/>
        <v>0.6</v>
      </c>
      <c r="I14" s="30">
        <f t="shared" si="2"/>
        <v>14</v>
      </c>
      <c r="J14" s="136"/>
      <c r="K14">
        <f>IFERROR(VLOOKUP(B14,[1]Hoja1!$A$4:$B$49,2,),0)</f>
        <v>18</v>
      </c>
      <c r="L14" s="108"/>
      <c r="M14" s="109"/>
    </row>
    <row r="15" spans="1:13" ht="16.2" customHeight="1" x14ac:dyDescent="0.3">
      <c r="A15" s="23" t="s">
        <v>21</v>
      </c>
      <c r="B15" s="24" t="s">
        <v>183</v>
      </c>
      <c r="C15" s="25">
        <v>1995472.1419404752</v>
      </c>
      <c r="D15" s="110">
        <v>1295178.03</v>
      </c>
      <c r="E15" s="27">
        <f t="shared" si="0"/>
        <v>0.64905843723807555</v>
      </c>
      <c r="F15" s="28">
        <v>35</v>
      </c>
      <c r="G15" s="110">
        <v>27</v>
      </c>
      <c r="H15" s="29">
        <f t="shared" si="1"/>
        <v>0.77142857142857146</v>
      </c>
      <c r="I15" s="30">
        <f t="shared" si="2"/>
        <v>8</v>
      </c>
      <c r="J15" s="136"/>
      <c r="K15">
        <f>IFERROR(VLOOKUP(B15,[1]Hoja1!$A$4:$B$49,2,),0)</f>
        <v>23</v>
      </c>
      <c r="L15" s="108"/>
      <c r="M15" s="109"/>
    </row>
    <row r="16" spans="1:13" ht="16.2" customHeight="1" x14ac:dyDescent="0.3">
      <c r="A16" s="23" t="s">
        <v>24</v>
      </c>
      <c r="B16" s="31" t="s">
        <v>25</v>
      </c>
      <c r="C16" s="32">
        <v>2883608.0195848034</v>
      </c>
      <c r="D16" s="110">
        <v>2795096.26</v>
      </c>
      <c r="E16" s="33">
        <f t="shared" si="0"/>
        <v>0.96930520411108168</v>
      </c>
      <c r="F16" s="34">
        <v>25</v>
      </c>
      <c r="G16" s="110">
        <v>16</v>
      </c>
      <c r="H16" s="35">
        <f t="shared" si="1"/>
        <v>0.64</v>
      </c>
      <c r="I16" s="36">
        <f t="shared" si="2"/>
        <v>9</v>
      </c>
      <c r="J16" s="136"/>
      <c r="K16">
        <f>IFERROR(VLOOKUP(B16,[1]Hoja1!$A$4:$B$49,2,),0)</f>
        <v>0</v>
      </c>
      <c r="L16" s="108"/>
      <c r="M16" s="109"/>
    </row>
    <row r="17" spans="1:13" ht="16.2" customHeight="1" x14ac:dyDescent="0.3">
      <c r="A17" s="23" t="s">
        <v>21</v>
      </c>
      <c r="B17" s="24" t="s">
        <v>26</v>
      </c>
      <c r="C17" s="25">
        <v>2192336.4590532691</v>
      </c>
      <c r="D17" s="110">
        <v>2182941.67</v>
      </c>
      <c r="E17" s="27">
        <f t="shared" si="0"/>
        <v>0.99571471385494992</v>
      </c>
      <c r="F17" s="28">
        <v>35</v>
      </c>
      <c r="G17" s="110">
        <v>33</v>
      </c>
      <c r="H17" s="29">
        <f t="shared" si="1"/>
        <v>0.94285714285714284</v>
      </c>
      <c r="I17" s="30">
        <f t="shared" si="2"/>
        <v>2</v>
      </c>
      <c r="J17" s="136"/>
      <c r="K17">
        <f>IFERROR(VLOOKUP(B17,[1]Hoja1!$A$4:$B$49,2,),0)</f>
        <v>29</v>
      </c>
      <c r="L17" s="108"/>
      <c r="M17" s="109"/>
    </row>
    <row r="18" spans="1:13" ht="16.2" customHeight="1" x14ac:dyDescent="0.3">
      <c r="A18" s="23" t="s">
        <v>24</v>
      </c>
      <c r="B18" s="31" t="s">
        <v>27</v>
      </c>
      <c r="C18" s="32">
        <v>2822450.2144699804</v>
      </c>
      <c r="D18" s="110">
        <v>1959917</v>
      </c>
      <c r="E18" s="33">
        <f t="shared" si="0"/>
        <v>0.69440268244662273</v>
      </c>
      <c r="F18" s="34">
        <v>25</v>
      </c>
      <c r="G18" s="110">
        <v>23</v>
      </c>
      <c r="H18" s="35">
        <f t="shared" si="1"/>
        <v>0.92</v>
      </c>
      <c r="I18" s="36">
        <f t="shared" si="2"/>
        <v>2</v>
      </c>
      <c r="J18" s="136"/>
      <c r="K18">
        <f>IFERROR(VLOOKUP(B18,[1]Hoja1!$A$4:$B$49,2,),0)</f>
        <v>13</v>
      </c>
      <c r="L18" s="108"/>
      <c r="M18" s="109"/>
    </row>
    <row r="19" spans="1:13" ht="16.2" customHeight="1" thickBot="1" x14ac:dyDescent="0.35">
      <c r="A19" s="16" t="s">
        <v>21</v>
      </c>
      <c r="B19" s="17" t="s">
        <v>179</v>
      </c>
      <c r="C19" s="18">
        <v>1875070.1152175944</v>
      </c>
      <c r="D19" s="110">
        <v>1673955.02</v>
      </c>
      <c r="E19" s="19">
        <f t="shared" si="0"/>
        <v>0.89274262675011717</v>
      </c>
      <c r="F19" s="20">
        <v>35</v>
      </c>
      <c r="G19" s="110">
        <v>24</v>
      </c>
      <c r="H19" s="21">
        <f t="shared" si="1"/>
        <v>0.68571428571428572</v>
      </c>
      <c r="I19" s="22">
        <f t="shared" si="2"/>
        <v>11</v>
      </c>
      <c r="J19" s="135"/>
      <c r="K19">
        <f>IFERROR(VLOOKUP(B19,[1]Hoja1!$A$4:$B$49,2,),0)</f>
        <v>25</v>
      </c>
      <c r="L19" s="108"/>
      <c r="M19" s="109"/>
    </row>
    <row r="20" spans="1:13" ht="16.2" customHeight="1" thickBot="1" x14ac:dyDescent="0.35">
      <c r="A20" s="9" t="s">
        <v>28</v>
      </c>
      <c r="B20" s="10" t="s">
        <v>29</v>
      </c>
      <c r="C20" s="11">
        <v>3489091.3383842125</v>
      </c>
      <c r="D20" s="110">
        <v>1826892.8800000001</v>
      </c>
      <c r="E20" s="12">
        <f t="shared" si="0"/>
        <v>0.52360133422188615</v>
      </c>
      <c r="F20" s="13">
        <v>35</v>
      </c>
      <c r="G20" s="110">
        <v>30</v>
      </c>
      <c r="H20" s="14">
        <f t="shared" si="1"/>
        <v>0.8571428571428571</v>
      </c>
      <c r="I20" s="15">
        <f t="shared" si="2"/>
        <v>5</v>
      </c>
      <c r="J20" s="134">
        <f>SUM(D20:D27)</f>
        <v>18527194.469999999</v>
      </c>
      <c r="K20">
        <f>IFERROR(VLOOKUP(B20,[1]Hoja1!$A$4:$B$49,2,),0)</f>
        <v>11</v>
      </c>
      <c r="L20" s="108"/>
      <c r="M20" s="109"/>
    </row>
    <row r="21" spans="1:13" ht="16.2" customHeight="1" x14ac:dyDescent="0.3">
      <c r="A21" s="23" t="s">
        <v>28</v>
      </c>
      <c r="B21" s="24" t="s">
        <v>30</v>
      </c>
      <c r="C21" s="25">
        <v>2577874.3253328721</v>
      </c>
      <c r="D21" s="110">
        <v>1571329.4100000001</v>
      </c>
      <c r="E21" s="27">
        <f t="shared" si="0"/>
        <v>0.60954461377674019</v>
      </c>
      <c r="F21" s="28">
        <v>35</v>
      </c>
      <c r="G21" s="110">
        <v>23</v>
      </c>
      <c r="H21" s="29">
        <f t="shared" si="1"/>
        <v>0.65714285714285714</v>
      </c>
      <c r="I21" s="30">
        <f t="shared" si="2"/>
        <v>12</v>
      </c>
      <c r="J21" s="136"/>
      <c r="K21">
        <f>IFERROR(VLOOKUP(B21,[1]Hoja1!$A$4:$B$49,2,),0)</f>
        <v>13</v>
      </c>
      <c r="L21" s="108"/>
      <c r="M21" s="109"/>
    </row>
    <row r="22" spans="1:13" ht="16.2" customHeight="1" x14ac:dyDescent="0.3">
      <c r="A22" s="23" t="s">
        <v>28</v>
      </c>
      <c r="B22" s="24" t="s">
        <v>31</v>
      </c>
      <c r="C22" s="25">
        <v>4147681.1569047491</v>
      </c>
      <c r="D22" s="110">
        <v>6364176.7400000002</v>
      </c>
      <c r="E22" s="27">
        <f t="shared" si="0"/>
        <v>1.5343939177690635</v>
      </c>
      <c r="F22" s="28">
        <v>25</v>
      </c>
      <c r="G22" s="110">
        <v>17</v>
      </c>
      <c r="H22" s="29">
        <f t="shared" si="1"/>
        <v>0.68</v>
      </c>
      <c r="I22" s="30">
        <f t="shared" si="2"/>
        <v>8</v>
      </c>
      <c r="J22" s="136"/>
      <c r="K22">
        <f>IFERROR(VLOOKUP(B22,[1]Hoja1!$A$4:$B$49,2,),0)</f>
        <v>11</v>
      </c>
      <c r="L22" s="108"/>
      <c r="M22" s="109"/>
    </row>
    <row r="23" spans="1:13" ht="16.2" customHeight="1" x14ac:dyDescent="0.3">
      <c r="A23" s="23" t="s">
        <v>28</v>
      </c>
      <c r="B23" s="24" t="s">
        <v>32</v>
      </c>
      <c r="C23" s="25">
        <v>2540205.0998750771</v>
      </c>
      <c r="D23" s="110">
        <v>1199693.7</v>
      </c>
      <c r="E23" s="27">
        <f t="shared" si="0"/>
        <v>0.47228221849448249</v>
      </c>
      <c r="F23" s="28">
        <v>35</v>
      </c>
      <c r="G23" s="110">
        <v>18</v>
      </c>
      <c r="H23" s="29">
        <f t="shared" si="1"/>
        <v>0.51428571428571423</v>
      </c>
      <c r="I23" s="30">
        <f t="shared" si="2"/>
        <v>17</v>
      </c>
      <c r="J23" s="136"/>
      <c r="K23">
        <f>IFERROR(VLOOKUP(B23,[1]Hoja1!$A$4:$B$49,2,),0)</f>
        <v>17</v>
      </c>
      <c r="L23" s="108"/>
      <c r="M23" s="109"/>
    </row>
    <row r="24" spans="1:13" ht="16.2" customHeight="1" x14ac:dyDescent="0.3">
      <c r="A24" s="23" t="s">
        <v>33</v>
      </c>
      <c r="B24" s="31" t="s">
        <v>34</v>
      </c>
      <c r="C24" s="32">
        <v>3542990.1174605954</v>
      </c>
      <c r="D24" s="110">
        <v>3178940.0999999996</v>
      </c>
      <c r="E24" s="33">
        <f t="shared" si="0"/>
        <v>0.89724780329855247</v>
      </c>
      <c r="F24" s="34">
        <v>25</v>
      </c>
      <c r="G24" s="110">
        <v>21</v>
      </c>
      <c r="H24" s="35">
        <f t="shared" si="1"/>
        <v>0.84</v>
      </c>
      <c r="I24" s="36">
        <f t="shared" si="2"/>
        <v>4</v>
      </c>
      <c r="J24" s="136"/>
      <c r="K24">
        <f>IFERROR(VLOOKUP(B24,[1]Hoja1!$A$4:$B$49,2,),0)</f>
        <v>12</v>
      </c>
      <c r="L24" s="108"/>
      <c r="M24" s="109"/>
    </row>
    <row r="25" spans="1:13" ht="16.2" customHeight="1" x14ac:dyDescent="0.3">
      <c r="A25" s="23" t="s">
        <v>35</v>
      </c>
      <c r="B25" s="31" t="s">
        <v>36</v>
      </c>
      <c r="C25" s="32">
        <v>2920413.4870966147</v>
      </c>
      <c r="D25" s="110">
        <v>1191581.58</v>
      </c>
      <c r="E25" s="33">
        <f t="shared" si="0"/>
        <v>0.40801810608833816</v>
      </c>
      <c r="F25" s="34">
        <v>35</v>
      </c>
      <c r="G25" s="110">
        <v>27</v>
      </c>
      <c r="H25" s="35">
        <f t="shared" si="1"/>
        <v>0.77142857142857146</v>
      </c>
      <c r="I25" s="36">
        <f t="shared" si="2"/>
        <v>8</v>
      </c>
      <c r="J25" s="136"/>
      <c r="K25">
        <f>IFERROR(VLOOKUP(B25,[1]Hoja1!$A$4:$B$49,2,),0)</f>
        <v>30</v>
      </c>
      <c r="L25" s="108"/>
      <c r="M25" s="109"/>
    </row>
    <row r="26" spans="1:13" ht="16.2" customHeight="1" x14ac:dyDescent="0.3">
      <c r="A26" s="23" t="s">
        <v>28</v>
      </c>
      <c r="B26" s="24" t="s">
        <v>37</v>
      </c>
      <c r="C26" s="25">
        <v>2415122.6140957503</v>
      </c>
      <c r="D26" s="110">
        <v>1369837</v>
      </c>
      <c r="E26" s="27">
        <f t="shared" si="0"/>
        <v>0.56719149247537592</v>
      </c>
      <c r="F26" s="28">
        <v>35</v>
      </c>
      <c r="G26" s="110">
        <v>22</v>
      </c>
      <c r="H26" s="29">
        <f t="shared" si="1"/>
        <v>0.62857142857142856</v>
      </c>
      <c r="I26" s="30">
        <f t="shared" si="2"/>
        <v>13</v>
      </c>
      <c r="J26" s="136"/>
      <c r="K26">
        <f>IFERROR(VLOOKUP(B26,[1]Hoja1!$A$4:$B$49,2,),0)</f>
        <v>14</v>
      </c>
      <c r="L26" s="108"/>
      <c r="M26" s="109"/>
    </row>
    <row r="27" spans="1:13" ht="16.2" customHeight="1" thickBot="1" x14ac:dyDescent="0.35">
      <c r="A27" s="16" t="s">
        <v>28</v>
      </c>
      <c r="B27" s="17" t="s">
        <v>38</v>
      </c>
      <c r="C27" s="18">
        <v>4616221.8608501228</v>
      </c>
      <c r="D27" s="110">
        <v>1824743.06</v>
      </c>
      <c r="E27" s="19">
        <f t="shared" si="0"/>
        <v>0.39528928959752285</v>
      </c>
      <c r="F27" s="20">
        <v>35</v>
      </c>
      <c r="G27" s="110">
        <v>16</v>
      </c>
      <c r="H27" s="21">
        <f t="shared" si="1"/>
        <v>0.45714285714285713</v>
      </c>
      <c r="I27" s="22">
        <f t="shared" si="2"/>
        <v>19</v>
      </c>
      <c r="J27" s="135"/>
      <c r="K27">
        <f>IFERROR(VLOOKUP(B27,[1]Hoja1!$A$4:$B$49,2,),0)</f>
        <v>6</v>
      </c>
      <c r="L27" s="108"/>
      <c r="M27" s="109"/>
    </row>
    <row r="28" spans="1:13" ht="16.2" customHeight="1" thickBot="1" x14ac:dyDescent="0.35">
      <c r="A28" s="9" t="s">
        <v>39</v>
      </c>
      <c r="B28" s="10" t="s">
        <v>40</v>
      </c>
      <c r="C28" s="11">
        <v>2620062.3345599254</v>
      </c>
      <c r="D28" s="110">
        <v>2547302.16</v>
      </c>
      <c r="E28" s="12">
        <f t="shared" si="0"/>
        <v>0.97222960171588957</v>
      </c>
      <c r="F28" s="13">
        <v>35</v>
      </c>
      <c r="G28" s="110">
        <v>19</v>
      </c>
      <c r="H28" s="14">
        <f t="shared" si="1"/>
        <v>0.54285714285714282</v>
      </c>
      <c r="I28" s="15">
        <f t="shared" si="2"/>
        <v>16</v>
      </c>
      <c r="J28" s="134">
        <f>SUM(D28:D35)</f>
        <v>17110986.100000001</v>
      </c>
      <c r="K28">
        <f>IFERROR(VLOOKUP(B28,[1]Hoja1!$A$4:$B$49,2,),0)</f>
        <v>25</v>
      </c>
      <c r="L28" s="108"/>
      <c r="M28" s="109"/>
    </row>
    <row r="29" spans="1:13" ht="16.2" customHeight="1" x14ac:dyDescent="0.3">
      <c r="A29" s="23" t="s">
        <v>39</v>
      </c>
      <c r="B29" s="24" t="s">
        <v>185</v>
      </c>
      <c r="C29" s="25">
        <v>2458438.6083827037</v>
      </c>
      <c r="D29" s="110">
        <v>1555740.1600000001</v>
      </c>
      <c r="E29" s="27">
        <f t="shared" si="0"/>
        <v>0.63281635534655534</v>
      </c>
      <c r="F29" s="28">
        <v>35</v>
      </c>
      <c r="G29" s="110">
        <v>28</v>
      </c>
      <c r="H29" s="29">
        <f t="shared" si="1"/>
        <v>0.8</v>
      </c>
      <c r="I29" s="30">
        <f t="shared" si="2"/>
        <v>7</v>
      </c>
      <c r="J29" s="136"/>
      <c r="K29">
        <f>IFERROR(VLOOKUP(B29,[1]Hoja1!$A$4:$B$49,2,),0)</f>
        <v>21</v>
      </c>
      <c r="L29" s="108"/>
      <c r="M29" s="109"/>
    </row>
    <row r="30" spans="1:13" ht="16.2" customHeight="1" x14ac:dyDescent="0.3">
      <c r="A30" s="23" t="s">
        <v>41</v>
      </c>
      <c r="B30" s="31" t="s">
        <v>42</v>
      </c>
      <c r="C30" s="32">
        <v>2514139.0406630151</v>
      </c>
      <c r="D30" s="110">
        <v>2231832.08</v>
      </c>
      <c r="E30" s="33">
        <f t="shared" si="0"/>
        <v>0.88771227203545333</v>
      </c>
      <c r="F30" s="34">
        <v>25</v>
      </c>
      <c r="G30" s="110">
        <v>12</v>
      </c>
      <c r="H30" s="35">
        <f t="shared" si="1"/>
        <v>0.48</v>
      </c>
      <c r="I30" s="36">
        <f t="shared" si="2"/>
        <v>13</v>
      </c>
      <c r="J30" s="136"/>
      <c r="K30">
        <f>IFERROR(VLOOKUP(B30,[1]Hoja1!$A$4:$B$49,2,),0)</f>
        <v>15</v>
      </c>
      <c r="L30" s="108"/>
      <c r="M30" s="109"/>
    </row>
    <row r="31" spans="1:13" ht="16.2" customHeight="1" x14ac:dyDescent="0.3">
      <c r="A31" s="23" t="s">
        <v>39</v>
      </c>
      <c r="B31" s="24" t="s">
        <v>43</v>
      </c>
      <c r="C31" s="25">
        <v>2647652.6657314487</v>
      </c>
      <c r="D31" s="110">
        <v>1914240.2400000002</v>
      </c>
      <c r="E31" s="27">
        <f t="shared" si="0"/>
        <v>0.72299522697066698</v>
      </c>
      <c r="F31" s="28">
        <v>35</v>
      </c>
      <c r="G31" s="110">
        <v>31</v>
      </c>
      <c r="H31" s="29">
        <f t="shared" si="1"/>
        <v>0.88571428571428568</v>
      </c>
      <c r="I31" s="30">
        <f t="shared" si="2"/>
        <v>4</v>
      </c>
      <c r="J31" s="136"/>
      <c r="K31">
        <f>IFERROR(VLOOKUP(B31,[1]Hoja1!$A$4:$B$49,2,),0)</f>
        <v>26</v>
      </c>
      <c r="L31" s="108"/>
      <c r="M31" s="109"/>
    </row>
    <row r="32" spans="1:13" ht="16.2" customHeight="1" x14ac:dyDescent="0.3">
      <c r="A32" s="23" t="s">
        <v>39</v>
      </c>
      <c r="B32" s="24" t="s">
        <v>44</v>
      </c>
      <c r="C32" s="25">
        <v>2470680.7678319723</v>
      </c>
      <c r="D32" s="110">
        <v>2736334.38</v>
      </c>
      <c r="E32" s="27">
        <f t="shared" si="0"/>
        <v>1.1075224349607655</v>
      </c>
      <c r="F32" s="28">
        <v>35</v>
      </c>
      <c r="G32" s="110">
        <v>21</v>
      </c>
      <c r="H32" s="29">
        <f t="shared" si="1"/>
        <v>0.6</v>
      </c>
      <c r="I32" s="30">
        <f t="shared" si="2"/>
        <v>14</v>
      </c>
      <c r="J32" s="136"/>
      <c r="K32">
        <f>IFERROR(VLOOKUP(B32,[1]Hoja1!$A$4:$B$49,2,),0)</f>
        <v>19</v>
      </c>
      <c r="L32" s="108"/>
      <c r="M32" s="109"/>
    </row>
    <row r="33" spans="1:13" ht="16.2" customHeight="1" x14ac:dyDescent="0.3">
      <c r="A33" s="23" t="s">
        <v>41</v>
      </c>
      <c r="B33" s="31" t="s">
        <v>45</v>
      </c>
      <c r="C33" s="32">
        <v>2270254.174878573</v>
      </c>
      <c r="D33" s="110">
        <v>3103013</v>
      </c>
      <c r="E33" s="33">
        <f t="shared" si="0"/>
        <v>1.3668130354461161</v>
      </c>
      <c r="F33" s="34">
        <v>25</v>
      </c>
      <c r="G33" s="110">
        <v>25</v>
      </c>
      <c r="H33" s="35">
        <f t="shared" si="1"/>
        <v>1</v>
      </c>
      <c r="I33" s="36">
        <f t="shared" si="2"/>
        <v>0</v>
      </c>
      <c r="J33" s="136"/>
      <c r="K33">
        <f>IFERROR(VLOOKUP(B33,[1]Hoja1!$A$4:$B$49,2,),0)</f>
        <v>18</v>
      </c>
      <c r="L33" s="108"/>
      <c r="M33" s="109"/>
    </row>
    <row r="34" spans="1:13" ht="16.2" customHeight="1" x14ac:dyDescent="0.3">
      <c r="A34" s="23" t="s">
        <v>39</v>
      </c>
      <c r="B34" s="24" t="s">
        <v>46</v>
      </c>
      <c r="C34" s="25">
        <v>2328805.5815734905</v>
      </c>
      <c r="D34" s="110">
        <v>1368875.08</v>
      </c>
      <c r="E34" s="27">
        <f t="shared" si="0"/>
        <v>0.58780135655424715</v>
      </c>
      <c r="F34" s="28">
        <v>35</v>
      </c>
      <c r="G34" s="110">
        <v>14</v>
      </c>
      <c r="H34" s="29">
        <f t="shared" si="1"/>
        <v>0.4</v>
      </c>
      <c r="I34" s="30">
        <f t="shared" si="2"/>
        <v>21</v>
      </c>
      <c r="J34" s="136"/>
      <c r="K34">
        <f>IFERROR(VLOOKUP(B34,[1]Hoja1!$A$4:$B$49,2,),0)</f>
        <v>15</v>
      </c>
      <c r="L34" s="108"/>
      <c r="M34" s="109"/>
    </row>
    <row r="35" spans="1:13" ht="16.2" customHeight="1" thickBot="1" x14ac:dyDescent="0.35">
      <c r="A35" s="16" t="s">
        <v>39</v>
      </c>
      <c r="B35" s="122" t="s">
        <v>47</v>
      </c>
      <c r="C35" s="123">
        <v>1534766.8077266652</v>
      </c>
      <c r="D35" s="110">
        <v>1653649</v>
      </c>
      <c r="E35" s="124">
        <f t="shared" si="0"/>
        <v>1.07745944965374</v>
      </c>
      <c r="F35" s="125">
        <v>35</v>
      </c>
      <c r="G35" s="110">
        <v>23</v>
      </c>
      <c r="H35" s="126">
        <f t="shared" si="1"/>
        <v>0.65714285714285714</v>
      </c>
      <c r="I35" s="127">
        <f t="shared" si="2"/>
        <v>12</v>
      </c>
      <c r="J35" s="135"/>
      <c r="K35">
        <f>IFERROR(VLOOKUP(B35,[1]Hoja1!$A$4:$B$49,2,),0)</f>
        <v>15</v>
      </c>
      <c r="L35" s="108"/>
      <c r="M35" s="109"/>
    </row>
    <row r="36" spans="1:13" ht="16.2" customHeight="1" thickBot="1" x14ac:dyDescent="0.35">
      <c r="A36" s="120" t="s">
        <v>48</v>
      </c>
      <c r="B36" s="130" t="s">
        <v>49</v>
      </c>
      <c r="C36" s="131">
        <v>14768000</v>
      </c>
      <c r="D36" s="110">
        <v>18151560.84</v>
      </c>
      <c r="E36" s="132">
        <f t="shared" si="0"/>
        <v>1.229114358071506</v>
      </c>
      <c r="F36" s="133">
        <v>10</v>
      </c>
      <c r="G36" s="110">
        <v>4</v>
      </c>
      <c r="H36" s="132">
        <f t="shared" si="1"/>
        <v>0.4</v>
      </c>
      <c r="I36" s="133">
        <f t="shared" si="2"/>
        <v>6</v>
      </c>
      <c r="J36" s="121">
        <f>D36</f>
        <v>18151560.84</v>
      </c>
      <c r="K36">
        <f>IFERROR(VLOOKUP(B36,[1]Hoja1!$A$4:$B$49,2,),0)</f>
        <v>2</v>
      </c>
      <c r="L36" s="108"/>
      <c r="M36" s="109"/>
    </row>
    <row r="37" spans="1:13" ht="16.2" customHeight="1" thickBot="1" x14ac:dyDescent="0.35">
      <c r="A37" s="9" t="s">
        <v>50</v>
      </c>
      <c r="B37" s="128" t="s">
        <v>51</v>
      </c>
      <c r="C37" s="129">
        <v>744134.18559999997</v>
      </c>
      <c r="D37" s="110">
        <v>647245</v>
      </c>
      <c r="E37" s="40">
        <f t="shared" ref="E37:E48" si="3">D37/C37</f>
        <v>0.86979608318642476</v>
      </c>
      <c r="F37" s="41">
        <v>25</v>
      </c>
      <c r="G37" s="110">
        <v>14</v>
      </c>
      <c r="H37" s="40">
        <f t="shared" ref="H37:H48" si="4">G37/F37</f>
        <v>0.56000000000000005</v>
      </c>
      <c r="I37" s="42">
        <f t="shared" ref="I37:I48" si="5">F37-G37</f>
        <v>11</v>
      </c>
      <c r="J37" s="134">
        <f>SUM(D37:D44)</f>
        <v>7667591</v>
      </c>
      <c r="K37">
        <f>IFERROR(VLOOKUP(B37,[1]Hoja1!$A$4:$B$49,2,),0)</f>
        <v>8</v>
      </c>
      <c r="L37" s="108"/>
      <c r="M37" s="109"/>
    </row>
    <row r="38" spans="1:13" ht="16.2" customHeight="1" x14ac:dyDescent="0.3">
      <c r="A38" s="23" t="s">
        <v>50</v>
      </c>
      <c r="B38" s="113" t="s">
        <v>184</v>
      </c>
      <c r="C38" s="114">
        <v>744134.18559999997</v>
      </c>
      <c r="D38" s="110">
        <v>760610</v>
      </c>
      <c r="E38" s="27">
        <f t="shared" si="3"/>
        <v>1.0221409185585466</v>
      </c>
      <c r="F38" s="28">
        <v>25</v>
      </c>
      <c r="G38" s="110">
        <v>14</v>
      </c>
      <c r="H38" s="27">
        <f t="shared" si="4"/>
        <v>0.56000000000000005</v>
      </c>
      <c r="I38" s="30">
        <f t="shared" si="5"/>
        <v>11</v>
      </c>
      <c r="J38" s="136"/>
      <c r="K38">
        <f>IFERROR(VLOOKUP(B38,[1]Hoja1!$A$4:$B$49,2,),0)</f>
        <v>18</v>
      </c>
      <c r="L38" s="108"/>
      <c r="M38" s="109"/>
    </row>
    <row r="39" spans="1:13" ht="16.2" customHeight="1" x14ac:dyDescent="0.3">
      <c r="A39" s="23" t="s">
        <v>50</v>
      </c>
      <c r="B39" s="113" t="s">
        <v>52</v>
      </c>
      <c r="C39" s="114">
        <v>744134.18559999997</v>
      </c>
      <c r="D39" s="110">
        <v>985480</v>
      </c>
      <c r="E39" s="27">
        <f t="shared" si="3"/>
        <v>1.3243310401139565</v>
      </c>
      <c r="F39" s="28">
        <v>25</v>
      </c>
      <c r="G39" s="110">
        <v>26</v>
      </c>
      <c r="H39" s="27">
        <f t="shared" si="4"/>
        <v>1.04</v>
      </c>
      <c r="I39" s="30">
        <f t="shared" si="5"/>
        <v>-1</v>
      </c>
      <c r="J39" s="136"/>
      <c r="K39">
        <f>IFERROR(VLOOKUP(B39,[1]Hoja1!$A$4:$B$49,2,),0)</f>
        <v>16</v>
      </c>
      <c r="L39" s="108"/>
      <c r="M39" s="109"/>
    </row>
    <row r="40" spans="1:13" ht="16.2" customHeight="1" x14ac:dyDescent="0.3">
      <c r="A40" s="23" t="s">
        <v>50</v>
      </c>
      <c r="B40" s="113" t="s">
        <v>53</v>
      </c>
      <c r="C40" s="114">
        <v>744134.18559999997</v>
      </c>
      <c r="D40" s="110">
        <v>139684</v>
      </c>
      <c r="E40" s="27">
        <f t="shared" si="3"/>
        <v>0.18771345639412054</v>
      </c>
      <c r="F40" s="28">
        <v>25</v>
      </c>
      <c r="G40" s="110">
        <v>1</v>
      </c>
      <c r="H40" s="27">
        <f t="shared" si="4"/>
        <v>0.04</v>
      </c>
      <c r="I40" s="30">
        <f t="shared" si="5"/>
        <v>24</v>
      </c>
      <c r="J40" s="136"/>
      <c r="K40">
        <f>IFERROR(VLOOKUP(B40,[1]Hoja1!$A$4:$B$49,2,),0)</f>
        <v>6</v>
      </c>
      <c r="L40" s="108"/>
      <c r="M40" s="109"/>
    </row>
    <row r="41" spans="1:13" ht="16.2" customHeight="1" x14ac:dyDescent="0.3">
      <c r="A41" s="23" t="s">
        <v>50</v>
      </c>
      <c r="B41" s="113" t="s">
        <v>54</v>
      </c>
      <c r="C41" s="114">
        <v>744134.18559999997</v>
      </c>
      <c r="D41" s="110">
        <v>270644</v>
      </c>
      <c r="E41" s="27">
        <f t="shared" si="3"/>
        <v>0.36370322078642048</v>
      </c>
      <c r="F41" s="28">
        <v>25</v>
      </c>
      <c r="G41" s="110">
        <v>9</v>
      </c>
      <c r="H41" s="27">
        <f t="shared" si="4"/>
        <v>0.36</v>
      </c>
      <c r="I41" s="30">
        <f t="shared" si="5"/>
        <v>16</v>
      </c>
      <c r="J41" s="136"/>
      <c r="K41">
        <f>IFERROR(VLOOKUP(B41,[1]Hoja1!$A$4:$B$49,2,),0)</f>
        <v>11</v>
      </c>
      <c r="L41" s="108"/>
      <c r="M41" s="109"/>
    </row>
    <row r="42" spans="1:13" ht="16.2" customHeight="1" x14ac:dyDescent="0.3">
      <c r="A42" s="23" t="s">
        <v>50</v>
      </c>
      <c r="B42" s="113" t="s">
        <v>55</v>
      </c>
      <c r="C42" s="114">
        <v>744134.18559999997</v>
      </c>
      <c r="D42" s="110">
        <v>665385</v>
      </c>
      <c r="E42" s="27">
        <f t="shared" si="3"/>
        <v>0.89417340699580405</v>
      </c>
      <c r="F42" s="28">
        <v>25</v>
      </c>
      <c r="G42" s="110">
        <v>21</v>
      </c>
      <c r="H42" s="27">
        <f t="shared" si="4"/>
        <v>0.84</v>
      </c>
      <c r="I42" s="30">
        <f t="shared" si="5"/>
        <v>4</v>
      </c>
      <c r="J42" s="136"/>
      <c r="K42">
        <f>IFERROR(VLOOKUP(B42,[1]Hoja1!$A$4:$B$49,2,),0)</f>
        <v>11</v>
      </c>
      <c r="L42" s="108"/>
      <c r="M42" s="109"/>
    </row>
    <row r="43" spans="1:13" ht="16.2" customHeight="1" x14ac:dyDescent="0.3">
      <c r="A43" s="23" t="s">
        <v>50</v>
      </c>
      <c r="B43" s="116" t="s">
        <v>56</v>
      </c>
      <c r="C43" s="117">
        <v>893894.18559999997</v>
      </c>
      <c r="D43" s="110">
        <v>3057770</v>
      </c>
      <c r="E43" s="33">
        <f t="shared" si="3"/>
        <v>3.4207292644459506</v>
      </c>
      <c r="F43" s="34">
        <v>20</v>
      </c>
      <c r="G43" s="110">
        <v>14</v>
      </c>
      <c r="H43" s="33">
        <f t="shared" si="4"/>
        <v>0.7</v>
      </c>
      <c r="I43" s="36">
        <f t="shared" si="5"/>
        <v>6</v>
      </c>
      <c r="J43" s="136"/>
      <c r="K43">
        <f>IFERROR(VLOOKUP(B43,[1]Hoja1!$A$4:$B$49,2,),0)</f>
        <v>10</v>
      </c>
      <c r="L43" s="108"/>
      <c r="M43" s="109"/>
    </row>
    <row r="44" spans="1:13" ht="16.2" customHeight="1" thickBot="1" x14ac:dyDescent="0.35">
      <c r="A44" s="16" t="s">
        <v>50</v>
      </c>
      <c r="B44" s="118" t="s">
        <v>57</v>
      </c>
      <c r="C44" s="119">
        <v>893894.14399999985</v>
      </c>
      <c r="D44" s="110">
        <v>1140773</v>
      </c>
      <c r="E44" s="37">
        <f t="shared" si="3"/>
        <v>1.2761835477467902</v>
      </c>
      <c r="F44" s="38">
        <v>20</v>
      </c>
      <c r="G44" s="110">
        <v>8</v>
      </c>
      <c r="H44" s="37">
        <f t="shared" si="4"/>
        <v>0.4</v>
      </c>
      <c r="I44" s="39">
        <f t="shared" si="5"/>
        <v>12</v>
      </c>
      <c r="J44" s="135"/>
      <c r="K44">
        <f>IFERROR(VLOOKUP(B44,[1]Hoja1!$A$4:$B$49,2,),0)</f>
        <v>7</v>
      </c>
      <c r="L44" s="108"/>
      <c r="M44" s="109"/>
    </row>
    <row r="45" spans="1:13" ht="16.2" customHeight="1" thickBot="1" x14ac:dyDescent="0.35">
      <c r="A45" s="9" t="s">
        <v>58</v>
      </c>
      <c r="B45" s="111" t="s">
        <v>59</v>
      </c>
      <c r="C45" s="112">
        <v>2356623.3599999999</v>
      </c>
      <c r="D45" s="110">
        <v>1348691.4</v>
      </c>
      <c r="E45" s="12">
        <f t="shared" si="3"/>
        <v>0.57229823946071723</v>
      </c>
      <c r="F45" s="13">
        <v>42</v>
      </c>
      <c r="G45" s="110">
        <v>22</v>
      </c>
      <c r="H45" s="12">
        <f t="shared" si="4"/>
        <v>0.52380952380952384</v>
      </c>
      <c r="I45" s="15">
        <f t="shared" si="5"/>
        <v>20</v>
      </c>
      <c r="J45" s="134">
        <f>SUM(D45:D48)</f>
        <v>3604862.04</v>
      </c>
      <c r="K45">
        <f>IFERROR(VLOOKUP(B45,[1]Hoja1!$A$4:$B$49,2,),0)</f>
        <v>12</v>
      </c>
      <c r="L45" s="108"/>
      <c r="M45" s="109"/>
    </row>
    <row r="46" spans="1:13" ht="16.2" customHeight="1" x14ac:dyDescent="0.3">
      <c r="A46" s="23" t="s">
        <v>58</v>
      </c>
      <c r="B46" s="113" t="s">
        <v>60</v>
      </c>
      <c r="C46" s="114">
        <v>1876992</v>
      </c>
      <c r="D46" s="110">
        <v>427028.41000000003</v>
      </c>
      <c r="E46" s="27">
        <f t="shared" si="3"/>
        <v>0.22750678212800057</v>
      </c>
      <c r="F46" s="28">
        <v>42</v>
      </c>
      <c r="G46" s="110">
        <v>15</v>
      </c>
      <c r="H46" s="27">
        <f t="shared" si="4"/>
        <v>0.35714285714285715</v>
      </c>
      <c r="I46" s="30">
        <f t="shared" si="5"/>
        <v>27</v>
      </c>
      <c r="J46" s="136"/>
      <c r="K46">
        <f>IFERROR(VLOOKUP(B46,[1]Hoja1!$A$4:$B$49,2,),0)</f>
        <v>12</v>
      </c>
      <c r="L46" s="108"/>
      <c r="M46" s="109"/>
    </row>
    <row r="47" spans="1:13" ht="16.2" customHeight="1" x14ac:dyDescent="0.3">
      <c r="A47" s="23" t="s">
        <v>58</v>
      </c>
      <c r="B47" s="113" t="s">
        <v>61</v>
      </c>
      <c r="C47" s="114">
        <v>3320977.92</v>
      </c>
      <c r="D47" s="110">
        <v>749429.94</v>
      </c>
      <c r="E47" s="27">
        <f t="shared" si="3"/>
        <v>0.22566543893191557</v>
      </c>
      <c r="F47" s="28">
        <v>42</v>
      </c>
      <c r="G47" s="110">
        <v>14</v>
      </c>
      <c r="H47" s="27">
        <f t="shared" si="4"/>
        <v>0.33333333333333331</v>
      </c>
      <c r="I47" s="30">
        <f t="shared" si="5"/>
        <v>28</v>
      </c>
      <c r="J47" s="136"/>
      <c r="K47">
        <f>IFERROR(VLOOKUP(B47,[1]Hoja1!$A$4:$B$49,2,),0)</f>
        <v>13</v>
      </c>
      <c r="L47" s="108"/>
      <c r="M47" s="109"/>
    </row>
    <row r="48" spans="1:13" ht="16.2" customHeight="1" thickBot="1" x14ac:dyDescent="0.35">
      <c r="A48" s="23" t="s">
        <v>58</v>
      </c>
      <c r="B48" s="113" t="s">
        <v>62</v>
      </c>
      <c r="C48" s="114">
        <v>2558400</v>
      </c>
      <c r="D48" s="110">
        <v>1079712.29</v>
      </c>
      <c r="E48" s="27">
        <f t="shared" si="3"/>
        <v>0.42202637976860541</v>
      </c>
      <c r="F48" s="28">
        <v>42</v>
      </c>
      <c r="G48" s="110">
        <v>23</v>
      </c>
      <c r="H48" s="27">
        <f t="shared" si="4"/>
        <v>0.54761904761904767</v>
      </c>
      <c r="I48" s="30">
        <f t="shared" si="5"/>
        <v>19</v>
      </c>
      <c r="J48" s="135"/>
      <c r="K48">
        <f>IFERROR(VLOOKUP(B48,[1]Hoja1!$A$4:$B$49,2,),0)</f>
        <v>22</v>
      </c>
      <c r="L48" s="108"/>
      <c r="M48" s="109"/>
    </row>
    <row r="49" spans="1:13" ht="16.2" thickBot="1" x14ac:dyDescent="0.35">
      <c r="A49" s="23"/>
      <c r="B49" s="113"/>
      <c r="C49" s="114"/>
      <c r="D49" s="26"/>
      <c r="E49" s="27"/>
      <c r="F49" s="28"/>
      <c r="G49" s="28"/>
      <c r="H49" s="27"/>
      <c r="I49" s="30"/>
      <c r="J49" s="134">
        <f>J45+J37+J36+J28+J20+J12+J4+J2</f>
        <v>106533695.81000002</v>
      </c>
      <c r="K49">
        <f>IFERROR(VLOOKUP(B49,[1]Hoja1!$A$4:$B$49,2,),0)</f>
        <v>0</v>
      </c>
      <c r="M49" s="109">
        <f t="shared" ref="M49" si="6">L49/25</f>
        <v>0</v>
      </c>
    </row>
    <row r="50" spans="1:13" ht="16.2" customHeight="1" thickBot="1" x14ac:dyDescent="0.35">
      <c r="A50" s="16"/>
      <c r="B50" s="115" t="s">
        <v>63</v>
      </c>
      <c r="C50" s="43">
        <f>SUM(C2:C49)</f>
        <v>135532799.98163295</v>
      </c>
      <c r="D50" s="44">
        <f>SUM(D2:D49)</f>
        <v>106533695.81</v>
      </c>
      <c r="E50" s="45">
        <f>D50/C50</f>
        <v>0.78603626446466957</v>
      </c>
      <c r="F50" s="46">
        <f>SUM(F2:F49)</f>
        <v>1438</v>
      </c>
      <c r="G50" s="46">
        <f>SUM(G2:G48)</f>
        <v>916</v>
      </c>
      <c r="H50" s="45">
        <f>G50/F50</f>
        <v>0.63699582753824757</v>
      </c>
      <c r="I50" s="47">
        <f>F50-G50</f>
        <v>522</v>
      </c>
      <c r="J50" s="135"/>
    </row>
  </sheetData>
  <mergeCells count="8">
    <mergeCell ref="J2:J3"/>
    <mergeCell ref="J4:J11"/>
    <mergeCell ref="J12:J19"/>
    <mergeCell ref="J45:J48"/>
    <mergeCell ref="J49:J50"/>
    <mergeCell ref="J20:J27"/>
    <mergeCell ref="J28:J35"/>
    <mergeCell ref="J37:J44"/>
  </mergeCells>
  <pageMargins left="0.75" right="0.75" top="1" bottom="1" header="0.5" footer="0.5"/>
  <ignoredErrors>
    <ignoredError sqref="J4 J12 J20 J28 J37 J45" formulaRange="1"/>
    <ignoredError sqref="E5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I26"/>
  <sheetViews>
    <sheetView workbookViewId="0">
      <selection activeCell="B1" sqref="B1:I26"/>
    </sheetView>
  </sheetViews>
  <sheetFormatPr baseColWidth="10" defaultColWidth="8.88671875" defaultRowHeight="14.4" x14ac:dyDescent="0.3"/>
  <cols>
    <col min="1" max="1" width="3" customWidth="1"/>
    <col min="2" max="2" width="22" customWidth="1"/>
    <col min="3" max="3" width="18" customWidth="1"/>
    <col min="4" max="4" width="20" customWidth="1"/>
    <col min="5" max="6" width="18" customWidth="1"/>
    <col min="7" max="7" width="14" customWidth="1"/>
    <col min="8" max="8" width="18" customWidth="1"/>
    <col min="9" max="9" width="12.109375" bestFit="1" customWidth="1"/>
  </cols>
  <sheetData>
    <row r="1" spans="2:9" ht="12" customHeight="1" x14ac:dyDescent="0.3">
      <c r="B1" s="137" t="s">
        <v>181</v>
      </c>
      <c r="C1" s="138"/>
      <c r="D1" s="138"/>
      <c r="E1" s="138"/>
      <c r="F1" s="138"/>
      <c r="G1" s="138"/>
      <c r="H1" s="138"/>
      <c r="I1" s="138"/>
    </row>
    <row r="2" spans="2:9" ht="24" customHeight="1" x14ac:dyDescent="0.3">
      <c r="B2" s="138"/>
      <c r="C2" s="138"/>
      <c r="D2" s="138"/>
      <c r="E2" s="138"/>
      <c r="F2" s="138"/>
      <c r="G2" s="138"/>
      <c r="H2" s="138"/>
      <c r="I2" s="138"/>
    </row>
    <row r="3" spans="2:9" ht="12" customHeight="1" x14ac:dyDescent="0.3">
      <c r="B3" s="138"/>
      <c r="C3" s="138"/>
      <c r="D3" s="138"/>
      <c r="E3" s="138"/>
      <c r="F3" s="138"/>
      <c r="G3" s="138"/>
      <c r="H3" s="138"/>
      <c r="I3" s="138"/>
    </row>
    <row r="4" spans="2:9" ht="18" customHeight="1" x14ac:dyDescent="0.3">
      <c r="B4" s="143" t="s">
        <v>64</v>
      </c>
      <c r="C4" s="138"/>
      <c r="D4" s="138"/>
      <c r="E4" s="138"/>
      <c r="F4" s="138"/>
      <c r="G4" s="138"/>
      <c r="H4" s="138"/>
      <c r="I4" s="138"/>
    </row>
    <row r="5" spans="2:9" ht="7.5" customHeight="1" x14ac:dyDescent="0.3"/>
    <row r="6" spans="2:9" ht="15.75" customHeight="1" x14ac:dyDescent="0.3">
      <c r="B6" s="141" t="s">
        <v>65</v>
      </c>
      <c r="C6" s="138"/>
      <c r="D6" s="146" t="s">
        <v>66</v>
      </c>
      <c r="E6" s="138"/>
      <c r="F6" s="139" t="s">
        <v>67</v>
      </c>
      <c r="G6" s="138"/>
      <c r="H6" s="149" t="s">
        <v>68</v>
      </c>
      <c r="I6" s="138"/>
    </row>
    <row r="7" spans="2:9" ht="18" customHeight="1" x14ac:dyDescent="0.3">
      <c r="B7" s="145" t="str">
        <f>TEXT(SUMIF(Datos!A2:A49,"&lt;&gt;"&amp;"",Datos!D2:D49)/1000000,"$#,##0.00")&amp;"M"</f>
        <v>$106.53M</v>
      </c>
      <c r="C7" s="138"/>
      <c r="D7" s="140" t="str">
        <f>TEXT(SUMIF(Datos!A2:A49,"&lt;&gt;"&amp;"",Datos!C2:C49)/1000000,"$#,##0.00")&amp;"M"</f>
        <v>$135.53M</v>
      </c>
      <c r="E7" s="138"/>
      <c r="F7" s="147" t="str">
        <f>TEXT(SUMIF(Datos!A2:A49,"&lt;&gt;"&amp;"",Datos!D2:D49)/SUMIF(Datos!A2:A49,"&lt;&gt;"&amp;"",Datos!C2:C49),"0.0%")</f>
        <v>78.6%</v>
      </c>
      <c r="G7" s="138"/>
      <c r="H7" s="142" t="str">
        <f>TEXT(SUMIF(Datos!A2:A49,"&lt;&gt;"&amp;"",Datos!G2:G49)/SUMIF(Datos!A2:A49,"&lt;&gt;"&amp;"",Datos!F2:F49),"0.0%")</f>
        <v>63.7%</v>
      </c>
      <c r="I7" s="138"/>
    </row>
    <row r="8" spans="2:9" x14ac:dyDescent="0.3">
      <c r="B8" s="138"/>
      <c r="C8" s="138"/>
      <c r="D8" s="138"/>
      <c r="E8" s="138"/>
      <c r="F8" s="138"/>
      <c r="G8" s="138"/>
      <c r="H8" s="138"/>
      <c r="I8" s="138"/>
    </row>
    <row r="9" spans="2:9" x14ac:dyDescent="0.3">
      <c r="B9" s="138"/>
      <c r="C9" s="138"/>
      <c r="D9" s="138"/>
      <c r="E9" s="138"/>
      <c r="F9" s="138"/>
      <c r="G9" s="138"/>
      <c r="H9" s="138"/>
      <c r="I9" s="138"/>
    </row>
    <row r="10" spans="2:9" ht="7.5" customHeight="1" x14ac:dyDescent="0.3"/>
    <row r="11" spans="2:9" ht="15.75" customHeight="1" x14ac:dyDescent="0.3">
      <c r="B11" s="150" t="s">
        <v>69</v>
      </c>
      <c r="C11" s="138"/>
      <c r="D11" s="139" t="s">
        <v>70</v>
      </c>
      <c r="E11" s="138"/>
      <c r="F11" s="141" t="s">
        <v>71</v>
      </c>
      <c r="G11" s="138"/>
      <c r="H11" s="139" t="s">
        <v>72</v>
      </c>
      <c r="I11" s="138"/>
    </row>
    <row r="12" spans="2:9" ht="18" customHeight="1" x14ac:dyDescent="0.3">
      <c r="B12" s="148" t="str">
        <f>TEXT(SUMIF(Datos!A2:A49,"&lt;&gt;"&amp;"",Datos!G2:G49),"#,##0")&amp;" / "&amp;TEXT(SUMIF(Datos!A2:A49,"&lt;&gt;"&amp;"",Datos!F2:F49),"#,##0")</f>
        <v>916 / 1,438</v>
      </c>
      <c r="C12" s="138"/>
      <c r="D12" s="152" t="str">
        <f>TEXT(COUNTIF(Datos!E2:E49,"&gt;="&amp;0.9),"0")&amp;" / "&amp;TEXT(COUNTA(Datos!B2:B49)-1,"0")</f>
        <v>16 / 46</v>
      </c>
      <c r="E12" s="138"/>
      <c r="F12" s="151" t="str">
        <f>INDEX(Datos!A2:A49,MATCH(MAX(Datos!D2:D49),Datos!D2:D49,0))</f>
        <v>Clientes Especiales</v>
      </c>
      <c r="G12" s="138"/>
      <c r="H12" s="152" t="str">
        <f>INDEX(Datos!A2:A49,MATCH(MIN(Datos!E2:E49),Datos!E2:E49,0))</f>
        <v>Brinsa</v>
      </c>
      <c r="I12" s="138"/>
    </row>
    <row r="13" spans="2:9" x14ac:dyDescent="0.3">
      <c r="B13" s="138"/>
      <c r="C13" s="138"/>
      <c r="D13" s="138"/>
      <c r="E13" s="138"/>
      <c r="F13" s="138"/>
      <c r="G13" s="138"/>
      <c r="H13" s="138"/>
      <c r="I13" s="138"/>
    </row>
    <row r="14" spans="2:9" x14ac:dyDescent="0.3">
      <c r="B14" s="138"/>
      <c r="C14" s="138"/>
      <c r="D14" s="138"/>
      <c r="E14" s="138"/>
      <c r="F14" s="138"/>
      <c r="G14" s="138"/>
      <c r="H14" s="138"/>
      <c r="I14" s="138"/>
    </row>
    <row r="15" spans="2:9" ht="7.5" customHeight="1" x14ac:dyDescent="0.3"/>
    <row r="16" spans="2:9" ht="19.5" customHeight="1" x14ac:dyDescent="0.3">
      <c r="B16" s="144" t="s">
        <v>73</v>
      </c>
      <c r="C16" s="138"/>
      <c r="D16" s="138"/>
      <c r="E16" s="138"/>
      <c r="F16" s="138"/>
      <c r="G16" s="138"/>
      <c r="H16" s="138"/>
      <c r="I16" s="138"/>
    </row>
    <row r="17" spans="2:9" ht="19.5" customHeight="1" x14ac:dyDescent="0.3">
      <c r="B17" s="48" t="s">
        <v>0</v>
      </c>
      <c r="C17" s="48" t="s">
        <v>74</v>
      </c>
      <c r="D17" s="48" t="s">
        <v>75</v>
      </c>
      <c r="E17" s="48" t="s">
        <v>76</v>
      </c>
      <c r="F17" s="48" t="s">
        <v>77</v>
      </c>
      <c r="G17" s="48" t="s">
        <v>78</v>
      </c>
      <c r="H17" s="48" t="s">
        <v>79</v>
      </c>
      <c r="I17" s="48" t="s">
        <v>80</v>
      </c>
    </row>
    <row r="18" spans="2:9" ht="15.75" customHeight="1" x14ac:dyDescent="0.3">
      <c r="B18" s="50" t="s">
        <v>13</v>
      </c>
      <c r="C18" s="51">
        <v>8</v>
      </c>
      <c r="D18" s="52">
        <f>Datos!C4+Datos!C5+Datos!C6+Datos!C7+Datos!C8+Datos!C9+Datos!C10+Datos!C11</f>
        <v>30991999.989276726</v>
      </c>
      <c r="E18" s="53">
        <f>Datos!D4+Datos!D5+Datos!D6+Datos!D7+Datos!D8+Datos!D9+Datos!D10+Datos!D11</f>
        <v>23506197.149999999</v>
      </c>
      <c r="F18" s="54">
        <f t="shared" ref="F18:F26" si="0">E18/D18</f>
        <v>0.75846015610909834</v>
      </c>
      <c r="G18" s="55">
        <f>Datos!G4+Datos!G5+Datos!G6+Datos!G7+Datos!G8+Datos!G9+Datos!G10+Datos!G11</f>
        <v>181</v>
      </c>
      <c r="H18" s="55">
        <f>Datos!F4+Datos!F5+Datos!F6+Datos!F7+Datos!F8+Datos!F9+Datos!F10+Datos!F11</f>
        <v>260</v>
      </c>
      <c r="I18" s="54">
        <f t="shared" ref="I18:I26" si="1">G18/H18</f>
        <v>0.69615384615384612</v>
      </c>
    </row>
    <row r="19" spans="2:9" ht="15.75" customHeight="1" x14ac:dyDescent="0.3">
      <c r="B19" s="56" t="s">
        <v>28</v>
      </c>
      <c r="C19" s="57">
        <v>8</v>
      </c>
      <c r="D19" s="58">
        <f>Datos!C20+Datos!C21+Datos!C22+Datos!C23+Datos!C24+Datos!C25+Datos!C26+Datos!C27</f>
        <v>26249599.999999993</v>
      </c>
      <c r="E19" s="59">
        <f>Datos!D20+Datos!D21+Datos!D22+Datos!D23+Datos!D24+Datos!D25+Datos!D26+Datos!D27</f>
        <v>18527194.469999999</v>
      </c>
      <c r="F19" s="60">
        <f t="shared" si="0"/>
        <v>0.70580863975070107</v>
      </c>
      <c r="G19" s="61">
        <f>Datos!G20+Datos!G21+Datos!G22+Datos!G23+Datos!G24+Datos!G25+Datos!G26+Datos!G27</f>
        <v>174</v>
      </c>
      <c r="H19" s="61">
        <f>Datos!F20+Datos!F21+Datos!F22+Datos!F23+Datos!F24+Datos!F25+Datos!F26+Datos!F27</f>
        <v>260</v>
      </c>
      <c r="I19" s="60">
        <f t="shared" si="1"/>
        <v>0.66923076923076918</v>
      </c>
    </row>
    <row r="20" spans="2:9" ht="15.75" customHeight="1" x14ac:dyDescent="0.3">
      <c r="B20" s="62" t="s">
        <v>81</v>
      </c>
      <c r="C20" s="51">
        <v>8</v>
      </c>
      <c r="D20" s="52">
        <f>Datos!C12+Datos!C13+Datos!C14+Datos!C15+Datos!C16+Datos!C17+Datos!C18+Datos!C19</f>
        <v>18262400.011008471</v>
      </c>
      <c r="E20" s="53">
        <f>Datos!D12+Datos!D13+Datos!D14+Datos!D15+Datos!D16+Datos!D17+Datos!D18+Datos!D19</f>
        <v>14105773.039999999</v>
      </c>
      <c r="F20" s="54">
        <f t="shared" si="0"/>
        <v>0.77239426534831779</v>
      </c>
      <c r="G20" s="55">
        <f>Datos!G12+Datos!G13+Datos!G14+Datos!G15+Datos!G16+Datos!G17+Datos!G18+Datos!G19</f>
        <v>190</v>
      </c>
      <c r="H20" s="55">
        <f>Datos!F12+Datos!F13+Datos!F14+Datos!F15+Datos!F16+Datos!F17+Datos!F18+Datos!F19</f>
        <v>260</v>
      </c>
      <c r="I20" s="54">
        <f t="shared" si="1"/>
        <v>0.73076923076923073</v>
      </c>
    </row>
    <row r="21" spans="2:9" ht="15.75" customHeight="1" x14ac:dyDescent="0.3">
      <c r="B21" s="63" t="s">
        <v>39</v>
      </c>
      <c r="C21" s="57">
        <v>8</v>
      </c>
      <c r="D21" s="58">
        <f>Datos!C28+Datos!C29+Datos!C30+Datos!C31+Datos!C32+Datos!C33+Datos!C34+Datos!C35</f>
        <v>18844799.981347796</v>
      </c>
      <c r="E21" s="59">
        <f>Datos!D28+Datos!D29+Datos!D30+Datos!D31+Datos!D32+Datos!D33+Datos!D34+Datos!D35</f>
        <v>17110986.100000001</v>
      </c>
      <c r="F21" s="60">
        <f t="shared" si="0"/>
        <v>0.90799510299584563</v>
      </c>
      <c r="G21" s="61">
        <f>Datos!G28+Datos!G29+Datos!G30+Datos!G31+Datos!G32+Datos!G33+Datos!G34+Datos!G35</f>
        <v>173</v>
      </c>
      <c r="H21" s="61">
        <f>Datos!F28+Datos!F29+Datos!F30+Datos!F31+Datos!F32+Datos!F33+Datos!F34+Datos!F35</f>
        <v>260</v>
      </c>
      <c r="I21" s="60">
        <f t="shared" si="1"/>
        <v>0.66538461538461535</v>
      </c>
    </row>
    <row r="22" spans="2:9" ht="15.75" customHeight="1" x14ac:dyDescent="0.3">
      <c r="B22" s="64" t="s">
        <v>48</v>
      </c>
      <c r="C22" s="51">
        <v>1</v>
      </c>
      <c r="D22" s="52">
        <f>Datos!C36</f>
        <v>14768000</v>
      </c>
      <c r="E22" s="53">
        <f>Datos!D36</f>
        <v>18151560.84</v>
      </c>
      <c r="F22" s="54">
        <f t="shared" si="0"/>
        <v>1.229114358071506</v>
      </c>
      <c r="G22" s="55">
        <f>Datos!G36</f>
        <v>4</v>
      </c>
      <c r="H22" s="55">
        <f>Datos!F36</f>
        <v>10</v>
      </c>
      <c r="I22" s="54">
        <f t="shared" si="1"/>
        <v>0.4</v>
      </c>
    </row>
    <row r="23" spans="2:9" ht="15.75" customHeight="1" x14ac:dyDescent="0.3">
      <c r="B23" s="65" t="s">
        <v>50</v>
      </c>
      <c r="C23" s="57">
        <v>8</v>
      </c>
      <c r="D23" s="58">
        <f>Datos!C37+Datos!C38+Datos!C39+Datos!C40+Datos!C41+Datos!C42+Datos!C43+Datos!C44</f>
        <v>6252593.4431999996</v>
      </c>
      <c r="E23" s="59">
        <f>Datos!D37+Datos!D38+Datos!D39+Datos!D40+Datos!D41+Datos!D42+Datos!D43+Datos!D44</f>
        <v>7667591</v>
      </c>
      <c r="F23" s="60">
        <f t="shared" si="0"/>
        <v>1.2263057033300124</v>
      </c>
      <c r="G23" s="61">
        <f>Datos!G37+Datos!G38+Datos!G39+Datos!G40+Datos!G41+Datos!G42+Datos!G43+Datos!G44</f>
        <v>107</v>
      </c>
      <c r="H23" s="61">
        <f>Datos!F37+Datos!F38+Datos!F39+Datos!F40+Datos!F41+Datos!F42+Datos!F43+Datos!F44</f>
        <v>190</v>
      </c>
      <c r="I23" s="60">
        <f t="shared" si="1"/>
        <v>0.56315789473684208</v>
      </c>
    </row>
    <row r="24" spans="2:9" ht="15.75" customHeight="1" x14ac:dyDescent="0.3">
      <c r="B24" s="66" t="s">
        <v>10</v>
      </c>
      <c r="C24" s="51">
        <v>2</v>
      </c>
      <c r="D24" s="52">
        <f>Datos!C2+Datos!C3</f>
        <v>10050413.276799999</v>
      </c>
      <c r="E24" s="53">
        <f>Datos!D2+Datos!D3</f>
        <v>3859531.17</v>
      </c>
      <c r="F24" s="54">
        <f t="shared" si="0"/>
        <v>0.38401716065837793</v>
      </c>
      <c r="G24" s="55">
        <f>Datos!G2+Datos!G3</f>
        <v>13</v>
      </c>
      <c r="H24" s="55">
        <f>Datos!F2+Datos!F3</f>
        <v>30</v>
      </c>
      <c r="I24" s="54">
        <f t="shared" si="1"/>
        <v>0.43333333333333335</v>
      </c>
    </row>
    <row r="25" spans="2:9" ht="15.75" customHeight="1" x14ac:dyDescent="0.3">
      <c r="B25" s="67" t="s">
        <v>58</v>
      </c>
      <c r="C25" s="57">
        <v>4</v>
      </c>
      <c r="D25" s="58">
        <f>Datos!C45+Datos!C46+Datos!C47+Datos!C48</f>
        <v>10112993.279999999</v>
      </c>
      <c r="E25" s="59">
        <f>Datos!D45+Datos!D46+Datos!D47+Datos!D48</f>
        <v>3604862.04</v>
      </c>
      <c r="F25" s="60">
        <f t="shared" si="0"/>
        <v>0.35645846290921301</v>
      </c>
      <c r="G25" s="61">
        <f>Datos!G45+Datos!G46+Datos!G47+Datos!G48</f>
        <v>74</v>
      </c>
      <c r="H25" s="61">
        <f>Datos!F45+Datos!F46+Datos!F47+Datos!F48</f>
        <v>168</v>
      </c>
      <c r="I25" s="60">
        <f t="shared" si="1"/>
        <v>0.44047619047619047</v>
      </c>
    </row>
    <row r="26" spans="2:9" ht="19.5" customHeight="1" x14ac:dyDescent="0.3">
      <c r="B26" s="68" t="s">
        <v>82</v>
      </c>
      <c r="C26" s="49">
        <f>SUM(C18:C25)</f>
        <v>47</v>
      </c>
      <c r="D26" s="69">
        <f>SUM(D18:D25)</f>
        <v>135532799.98163301</v>
      </c>
      <c r="E26" s="70">
        <f>SUM(E18:E25)</f>
        <v>106533695.81</v>
      </c>
      <c r="F26" s="71">
        <f t="shared" si="0"/>
        <v>0.78603626446466923</v>
      </c>
      <c r="G26" s="72">
        <f>SUM(G18:G25)</f>
        <v>916</v>
      </c>
      <c r="H26" s="72">
        <f>SUM(H18:H25)</f>
        <v>1438</v>
      </c>
      <c r="I26" s="71">
        <f t="shared" si="1"/>
        <v>0.63699582753824757</v>
      </c>
    </row>
  </sheetData>
  <mergeCells count="19">
    <mergeCell ref="B16:I16"/>
    <mergeCell ref="B7:C9"/>
    <mergeCell ref="F6:G6"/>
    <mergeCell ref="D6:E6"/>
    <mergeCell ref="F7:G9"/>
    <mergeCell ref="B12:C14"/>
    <mergeCell ref="H6:I6"/>
    <mergeCell ref="B11:C11"/>
    <mergeCell ref="D11:E11"/>
    <mergeCell ref="F12:G14"/>
    <mergeCell ref="D12:E14"/>
    <mergeCell ref="H12:I14"/>
    <mergeCell ref="B1:I3"/>
    <mergeCell ref="H11:I11"/>
    <mergeCell ref="D7:E9"/>
    <mergeCell ref="B6:C6"/>
    <mergeCell ref="H7:I9"/>
    <mergeCell ref="B4:I4"/>
    <mergeCell ref="F11:G11"/>
  </mergeCells>
  <pageMargins left="0.75" right="0.75" top="1" bottom="1" header="0.5" footer="0.5"/>
  <ignoredErrors>
    <ignoredError sqref="F26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K61"/>
  <sheetViews>
    <sheetView workbookViewId="0">
      <selection activeCell="B1" sqref="B1:K61"/>
    </sheetView>
  </sheetViews>
  <sheetFormatPr baseColWidth="10" defaultColWidth="8.88671875" defaultRowHeight="14.4" x14ac:dyDescent="0.3"/>
  <cols>
    <col min="1" max="1" width="3" customWidth="1"/>
    <col min="2" max="2" width="24" customWidth="1"/>
    <col min="3" max="3" width="30" customWidth="1"/>
    <col min="4" max="5" width="15" customWidth="1"/>
    <col min="6" max="6" width="14" customWidth="1"/>
    <col min="7" max="8" width="12" customWidth="1"/>
    <col min="9" max="9" width="13" customWidth="1"/>
    <col min="10" max="10" width="14" customWidth="1"/>
    <col min="11" max="11" width="3" customWidth="1"/>
  </cols>
  <sheetData>
    <row r="1" spans="2:11" x14ac:dyDescent="0.3">
      <c r="B1" s="137" t="s">
        <v>83</v>
      </c>
      <c r="C1" s="138"/>
      <c r="D1" s="138"/>
      <c r="E1" s="138"/>
      <c r="F1" s="138"/>
      <c r="G1" s="138"/>
      <c r="H1" s="138"/>
      <c r="I1" s="138"/>
      <c r="J1" s="138"/>
      <c r="K1" s="138"/>
    </row>
    <row r="2" spans="2:11" x14ac:dyDescent="0.3">
      <c r="B2" s="138"/>
      <c r="C2" s="138"/>
      <c r="D2" s="138"/>
      <c r="E2" s="138"/>
      <c r="F2" s="138"/>
      <c r="G2" s="138"/>
      <c r="H2" s="138"/>
      <c r="I2" s="138"/>
      <c r="J2" s="138"/>
      <c r="K2" s="138"/>
    </row>
    <row r="3" spans="2:11" x14ac:dyDescent="0.3">
      <c r="B3" s="138"/>
      <c r="C3" s="138"/>
      <c r="D3" s="138"/>
      <c r="E3" s="138"/>
      <c r="F3" s="138"/>
      <c r="G3" s="138"/>
      <c r="H3" s="138"/>
      <c r="I3" s="138"/>
      <c r="J3" s="138"/>
      <c r="K3" s="138"/>
    </row>
    <row r="4" spans="2:11" x14ac:dyDescent="0.3">
      <c r="B4" s="153" t="s">
        <v>84</v>
      </c>
      <c r="C4" s="138"/>
      <c r="D4" s="138"/>
      <c r="E4" s="138"/>
      <c r="F4" s="138"/>
      <c r="G4" s="138"/>
      <c r="H4" s="138"/>
      <c r="I4" s="138"/>
      <c r="J4" s="138"/>
      <c r="K4" s="138"/>
    </row>
    <row r="5" spans="2:11" ht="19.5" customHeight="1" x14ac:dyDescent="0.3">
      <c r="B5" s="49" t="s">
        <v>0</v>
      </c>
      <c r="C5" s="49" t="s">
        <v>85</v>
      </c>
      <c r="D5" s="49" t="s">
        <v>86</v>
      </c>
      <c r="E5" s="49" t="s">
        <v>87</v>
      </c>
      <c r="F5" s="49" t="s">
        <v>77</v>
      </c>
      <c r="G5" s="49" t="s">
        <v>88</v>
      </c>
      <c r="H5" s="49" t="s">
        <v>79</v>
      </c>
      <c r="I5" s="49" t="s">
        <v>89</v>
      </c>
      <c r="J5" s="49" t="s">
        <v>80</v>
      </c>
    </row>
    <row r="6" spans="2:11" ht="15.75" customHeight="1" x14ac:dyDescent="0.3">
      <c r="B6" s="73" t="s">
        <v>13</v>
      </c>
      <c r="C6" s="74" t="str">
        <f>IF(ISNUMBER(VALUE(LEFT(Datos!B4,4))),MID(Datos!B4,6,100),Datos!B4)</f>
        <v>JHON JAIME SANCHEZ</v>
      </c>
      <c r="D6" s="75">
        <f>Datos!C4</f>
        <v>3912073.1343425158</v>
      </c>
      <c r="E6" s="76">
        <f>Datos!D4</f>
        <v>1416113.58</v>
      </c>
      <c r="F6" s="77">
        <f>Datos!E4</f>
        <v>0.36198545665430149</v>
      </c>
      <c r="G6" s="78">
        <f>Datos!G4</f>
        <v>20</v>
      </c>
      <c r="H6" s="78">
        <f>Datos!F4</f>
        <v>35</v>
      </c>
      <c r="I6" s="78">
        <f>Datos!I4</f>
        <v>15</v>
      </c>
      <c r="J6" s="77">
        <f>Datos!H4</f>
        <v>0.5714285714285714</v>
      </c>
    </row>
    <row r="7" spans="2:11" ht="15.75" customHeight="1" x14ac:dyDescent="0.3">
      <c r="B7" s="73" t="s">
        <v>13</v>
      </c>
      <c r="C7" s="79" t="str">
        <f>IF(ISNUMBER(VALUE(LEFT(Datos!B5,4))),MID(Datos!B5,6,100),Datos!B5)</f>
        <v>KEVIN ALEXANDER ORTIZ BADOS</v>
      </c>
      <c r="D7" s="80">
        <f>Datos!C5</f>
        <v>3557632.3618512237</v>
      </c>
      <c r="E7" s="81">
        <f>Datos!D5</f>
        <v>2114215.6199999996</v>
      </c>
      <c r="F7" s="82">
        <f>Datos!E5</f>
        <v>0.59427602544627789</v>
      </c>
      <c r="G7" s="83">
        <f>Datos!G5</f>
        <v>28</v>
      </c>
      <c r="H7" s="83">
        <f>Datos!F5</f>
        <v>35</v>
      </c>
      <c r="I7" s="83">
        <f>Datos!I5</f>
        <v>7</v>
      </c>
      <c r="J7" s="82">
        <f>Datos!H5</f>
        <v>0.8</v>
      </c>
    </row>
    <row r="8" spans="2:11" ht="15.75" customHeight="1" x14ac:dyDescent="0.3">
      <c r="B8" s="73" t="s">
        <v>13</v>
      </c>
      <c r="C8" s="74" t="str">
        <f>IF(ISNUMBER(VALUE(LEFT(Datos!B6,4))),MID(Datos!B6,6,100),Datos!B6)</f>
        <v>SANTIAGO OTERO</v>
      </c>
      <c r="D8" s="75">
        <f>Datos!C6</f>
        <v>4352260.4017633554</v>
      </c>
      <c r="E8" s="76">
        <f>Datos!D6</f>
        <v>4412714.58</v>
      </c>
      <c r="F8" s="77">
        <f>Datos!E6</f>
        <v>1.0138902943886701</v>
      </c>
      <c r="G8" s="78">
        <f>Datos!G6</f>
        <v>25</v>
      </c>
      <c r="H8" s="78">
        <f>Datos!F6</f>
        <v>25</v>
      </c>
      <c r="I8" s="78">
        <f>Datos!I6</f>
        <v>0</v>
      </c>
      <c r="J8" s="77">
        <f>Datos!H6</f>
        <v>1</v>
      </c>
    </row>
    <row r="9" spans="2:11" ht="15.75" customHeight="1" x14ac:dyDescent="0.3">
      <c r="B9" s="73" t="s">
        <v>13</v>
      </c>
      <c r="C9" s="79" t="str">
        <f>IF(ISNUMBER(VALUE(LEFT(Datos!B7,4))),MID(Datos!B7,6,100),Datos!B7)</f>
        <v>JUAN MANUEL SILVA</v>
      </c>
      <c r="D9" s="80">
        <f>Datos!C7</f>
        <v>2949191.3751801224</v>
      </c>
      <c r="E9" s="81">
        <f>Datos!D7</f>
        <v>2842427.23</v>
      </c>
      <c r="F9" s="82">
        <f>Datos!E7</f>
        <v>0.96379884124216864</v>
      </c>
      <c r="G9" s="83">
        <f>Datos!G7</f>
        <v>31</v>
      </c>
      <c r="H9" s="83">
        <f>Datos!F7</f>
        <v>35</v>
      </c>
      <c r="I9" s="83">
        <f>Datos!I7</f>
        <v>4</v>
      </c>
      <c r="J9" s="82">
        <f>Datos!H7</f>
        <v>0.88571428571428568</v>
      </c>
    </row>
    <row r="10" spans="2:11" ht="15.75" customHeight="1" x14ac:dyDescent="0.3">
      <c r="B10" s="73" t="s">
        <v>13</v>
      </c>
      <c r="C10" s="74" t="str">
        <f>IF(ISNUMBER(VALUE(LEFT(Datos!B8,4))),MID(Datos!B8,6,100),Datos!B8)</f>
        <v>BETANIA PEÑA</v>
      </c>
      <c r="D10" s="75">
        <f>Datos!C8</f>
        <v>3599832.4226795579</v>
      </c>
      <c r="E10" s="76">
        <f>Datos!D8</f>
        <v>2474427.89</v>
      </c>
      <c r="F10" s="77">
        <f>Datos!E8</f>
        <v>0.68737307726067542</v>
      </c>
      <c r="G10" s="78">
        <f>Datos!G8</f>
        <v>23</v>
      </c>
      <c r="H10" s="78">
        <f>Datos!F8</f>
        <v>35</v>
      </c>
      <c r="I10" s="78">
        <f>Datos!I8</f>
        <v>12</v>
      </c>
      <c r="J10" s="77">
        <f>Datos!H8</f>
        <v>0.65714285714285714</v>
      </c>
    </row>
    <row r="11" spans="2:11" ht="15.75" customHeight="1" x14ac:dyDescent="0.3">
      <c r="B11" s="73" t="s">
        <v>13</v>
      </c>
      <c r="C11" s="79" t="str">
        <f>IF(ISNUMBER(VALUE(LEFT(Datos!B9,4))),MID(Datos!B9,6,100),Datos!B9)</f>
        <v>JAIRO RUIZ</v>
      </c>
      <c r="D11" s="80">
        <f>Datos!C9</f>
        <v>4051883.2924698438</v>
      </c>
      <c r="E11" s="81">
        <f>Datos!D9</f>
        <v>6767658.1399999997</v>
      </c>
      <c r="F11" s="82">
        <f>Datos!E9</f>
        <v>1.6702500174615698</v>
      </c>
      <c r="G11" s="83">
        <f>Datos!G9</f>
        <v>11</v>
      </c>
      <c r="H11" s="83">
        <f>Datos!F9</f>
        <v>25</v>
      </c>
      <c r="I11" s="83">
        <f>Datos!I9</f>
        <v>14</v>
      </c>
      <c r="J11" s="82">
        <f>Datos!H9</f>
        <v>0.44</v>
      </c>
    </row>
    <row r="12" spans="2:11" ht="15.75" customHeight="1" x14ac:dyDescent="0.3">
      <c r="B12" s="73" t="s">
        <v>13</v>
      </c>
      <c r="C12" s="74" t="str">
        <f>IF(ISNUMBER(VALUE(LEFT(Datos!B10,4))),MID(Datos!B10,6,100),Datos!B10)</f>
        <v>JOSE LUIS ARTEAGA</v>
      </c>
      <c r="D12" s="75">
        <f>Datos!C10</f>
        <v>4501003.6550359493</v>
      </c>
      <c r="E12" s="76">
        <f>Datos!D10</f>
        <v>1629101.3800000001</v>
      </c>
      <c r="F12" s="77">
        <f>Datos!E10</f>
        <v>0.36194180339695559</v>
      </c>
      <c r="G12" s="78">
        <f>Datos!G10</f>
        <v>22</v>
      </c>
      <c r="H12" s="78">
        <f>Datos!F10</f>
        <v>35</v>
      </c>
      <c r="I12" s="78">
        <f>Datos!I10</f>
        <v>13</v>
      </c>
      <c r="J12" s="77">
        <f>Datos!H10</f>
        <v>0.62857142857142856</v>
      </c>
    </row>
    <row r="13" spans="2:11" ht="15.75" customHeight="1" x14ac:dyDescent="0.3">
      <c r="B13" s="73" t="s">
        <v>13</v>
      </c>
      <c r="C13" s="79" t="str">
        <f>IF(ISNUMBER(VALUE(LEFT(Datos!B11,4))),MID(Datos!B11,6,100),Datos!B11)</f>
        <v>AREVALO DUARTE CARLOS ALBERTO</v>
      </c>
      <c r="D13" s="80">
        <f>Datos!C11</f>
        <v>4068123.3459541583</v>
      </c>
      <c r="E13" s="81">
        <f>Datos!D11</f>
        <v>1849538.73</v>
      </c>
      <c r="F13" s="82">
        <f>Datos!E11</f>
        <v>0.45464175314138605</v>
      </c>
      <c r="G13" s="83">
        <f>Datos!G11</f>
        <v>21</v>
      </c>
      <c r="H13" s="83">
        <f>Datos!F11</f>
        <v>35</v>
      </c>
      <c r="I13" s="83">
        <f>Datos!I11</f>
        <v>14</v>
      </c>
      <c r="J13" s="82">
        <f>Datos!H11</f>
        <v>0.6</v>
      </c>
    </row>
    <row r="14" spans="2:11" ht="16.05" customHeight="1" x14ac:dyDescent="0.3">
      <c r="B14" s="104" t="s">
        <v>90</v>
      </c>
      <c r="C14" s="105"/>
      <c r="D14" s="85">
        <f>SUM(D6:D13)</f>
        <v>30991999.989276726</v>
      </c>
      <c r="E14" s="86">
        <f>SUM(E6:E13)</f>
        <v>23506197.149999999</v>
      </c>
      <c r="F14" s="87">
        <f>E14/D14</f>
        <v>0.75846015610909834</v>
      </c>
      <c r="G14" s="88">
        <f>SUM(G6:G13)</f>
        <v>181</v>
      </c>
      <c r="H14" s="88">
        <f>SUM(H6:H13)</f>
        <v>260</v>
      </c>
      <c r="I14" s="88">
        <f>SUM(I6:I13)</f>
        <v>79</v>
      </c>
      <c r="J14" s="87">
        <f>G14/H14</f>
        <v>0.69615384615384612</v>
      </c>
    </row>
    <row r="15" spans="2:11" ht="15.75" customHeight="1" x14ac:dyDescent="0.3">
      <c r="B15" s="89" t="s">
        <v>28</v>
      </c>
      <c r="C15" s="74" t="str">
        <f>IF(ISNUMBER(VALUE(LEFT(Datos!B20,4))),MID(Datos!B20,6,100),Datos!B20)</f>
        <v>SUSANA NOGUERA</v>
      </c>
      <c r="D15" s="75">
        <f>Datos!C20</f>
        <v>3489091.3383842125</v>
      </c>
      <c r="E15" s="76">
        <f>Datos!D20</f>
        <v>1826892.8800000001</v>
      </c>
      <c r="F15" s="77">
        <f>Datos!E20</f>
        <v>0.52360133422188615</v>
      </c>
      <c r="G15" s="78">
        <f>Datos!G20</f>
        <v>30</v>
      </c>
      <c r="H15" s="78">
        <f>Datos!F20</f>
        <v>35</v>
      </c>
      <c r="I15" s="78">
        <f>Datos!I20</f>
        <v>5</v>
      </c>
      <c r="J15" s="77">
        <f>Datos!H20</f>
        <v>0.8571428571428571</v>
      </c>
    </row>
    <row r="16" spans="2:11" ht="15.75" customHeight="1" x14ac:dyDescent="0.3">
      <c r="B16" s="89" t="s">
        <v>28</v>
      </c>
      <c r="C16" s="79" t="str">
        <f>IF(ISNUMBER(VALUE(LEFT(Datos!B21,4))),MID(Datos!B21,6,100),Datos!B21)</f>
        <v>STEFANY ALEJANDRA VILLAREAL</v>
      </c>
      <c r="D16" s="80">
        <f>Datos!C21</f>
        <v>2577874.3253328721</v>
      </c>
      <c r="E16" s="81">
        <f>Datos!D21</f>
        <v>1571329.4100000001</v>
      </c>
      <c r="F16" s="82">
        <f>Datos!E21</f>
        <v>0.60954461377674019</v>
      </c>
      <c r="G16" s="83">
        <f>Datos!G21</f>
        <v>23</v>
      </c>
      <c r="H16" s="83">
        <f>Datos!F21</f>
        <v>35</v>
      </c>
      <c r="I16" s="83">
        <f>Datos!I21</f>
        <v>12</v>
      </c>
      <c r="J16" s="82">
        <f>Datos!H21</f>
        <v>0.65714285714285714</v>
      </c>
    </row>
    <row r="17" spans="2:10" ht="15.75" customHeight="1" x14ac:dyDescent="0.3">
      <c r="B17" s="89" t="s">
        <v>28</v>
      </c>
      <c r="C17" s="74" t="str">
        <f>IF(ISNUMBER(VALUE(LEFT(Datos!B22,4))),MID(Datos!B22,6,100),Datos!B22)</f>
        <v>MAURICIO VIVAS RUIZ</v>
      </c>
      <c r="D17" s="75">
        <f>Datos!C22</f>
        <v>4147681.1569047491</v>
      </c>
      <c r="E17" s="76">
        <f>Datos!D22</f>
        <v>6364176.7400000002</v>
      </c>
      <c r="F17" s="77">
        <f>Datos!E22</f>
        <v>1.5343939177690635</v>
      </c>
      <c r="G17" s="78">
        <f>Datos!G22</f>
        <v>17</v>
      </c>
      <c r="H17" s="78">
        <f>Datos!F22</f>
        <v>25</v>
      </c>
      <c r="I17" s="78">
        <f>Datos!I22</f>
        <v>8</v>
      </c>
      <c r="J17" s="77">
        <f>Datos!H22</f>
        <v>0.68</v>
      </c>
    </row>
    <row r="18" spans="2:10" ht="15.75" customHeight="1" x14ac:dyDescent="0.3">
      <c r="B18" s="89" t="s">
        <v>28</v>
      </c>
      <c r="C18" s="79" t="str">
        <f>IF(ISNUMBER(VALUE(LEFT(Datos!B23,4))),MID(Datos!B23,6,100),Datos!B23)</f>
        <v>SANTIAGO IMBACHI JOAQUI</v>
      </c>
      <c r="D18" s="80">
        <f>Datos!C23</f>
        <v>2540205.0998750771</v>
      </c>
      <c r="E18" s="81">
        <f>Datos!D23</f>
        <v>1199693.7</v>
      </c>
      <c r="F18" s="82">
        <f>Datos!E23</f>
        <v>0.47228221849448249</v>
      </c>
      <c r="G18" s="83">
        <f>Datos!G23</f>
        <v>18</v>
      </c>
      <c r="H18" s="83">
        <f>Datos!F23</f>
        <v>35</v>
      </c>
      <c r="I18" s="83">
        <f>Datos!I23</f>
        <v>17</v>
      </c>
      <c r="J18" s="82">
        <f>Datos!H23</f>
        <v>0.51428571428571423</v>
      </c>
    </row>
    <row r="19" spans="2:10" ht="15.75" customHeight="1" x14ac:dyDescent="0.3">
      <c r="B19" s="89" t="s">
        <v>28</v>
      </c>
      <c r="C19" s="74" t="str">
        <f>IF(ISNUMBER(VALUE(LEFT(Datos!B24,4))),MID(Datos!B24,6,100),Datos!B24)</f>
        <v>MEYER MUÑOZ</v>
      </c>
      <c r="D19" s="75">
        <f>Datos!C24</f>
        <v>3542990.1174605954</v>
      </c>
      <c r="E19" s="76">
        <f>Datos!D24</f>
        <v>3178940.0999999996</v>
      </c>
      <c r="F19" s="77">
        <f>Datos!E24</f>
        <v>0.89724780329855247</v>
      </c>
      <c r="G19" s="78">
        <f>Datos!G24</f>
        <v>21</v>
      </c>
      <c r="H19" s="78">
        <f>Datos!F24</f>
        <v>25</v>
      </c>
      <c r="I19" s="78">
        <f>Datos!I24</f>
        <v>4</v>
      </c>
      <c r="J19" s="77">
        <f>Datos!H24</f>
        <v>0.84</v>
      </c>
    </row>
    <row r="20" spans="2:10" ht="15.75" customHeight="1" x14ac:dyDescent="0.3">
      <c r="B20" s="89" t="s">
        <v>28</v>
      </c>
      <c r="C20" s="79" t="str">
        <f>IF(ISNUMBER(VALUE(LEFT(Datos!B25,4))),MID(Datos!B25,6,100),Datos!B25)</f>
        <v>FABIO VERGARA</v>
      </c>
      <c r="D20" s="80">
        <f>Datos!C25</f>
        <v>2920413.4870966147</v>
      </c>
      <c r="E20" s="81">
        <f>Datos!D25</f>
        <v>1191581.58</v>
      </c>
      <c r="F20" s="82">
        <f>Datos!E25</f>
        <v>0.40801810608833816</v>
      </c>
      <c r="G20" s="83">
        <f>Datos!G25</f>
        <v>27</v>
      </c>
      <c r="H20" s="83">
        <f>Datos!F25</f>
        <v>35</v>
      </c>
      <c r="I20" s="83">
        <f>Datos!I25</f>
        <v>8</v>
      </c>
      <c r="J20" s="82">
        <f>Datos!H25</f>
        <v>0.77142857142857146</v>
      </c>
    </row>
    <row r="21" spans="2:10" ht="15.75" customHeight="1" x14ac:dyDescent="0.3">
      <c r="B21" s="89" t="s">
        <v>28</v>
      </c>
      <c r="C21" s="74" t="str">
        <f>IF(ISNUMBER(VALUE(LEFT(Datos!B26,4))),MID(Datos!B26,6,100),Datos!B26)</f>
        <v>ALEJANDRO CIFUENTES GAMBOA</v>
      </c>
      <c r="D21" s="75">
        <f>Datos!C26</f>
        <v>2415122.6140957503</v>
      </c>
      <c r="E21" s="76">
        <f>Datos!D26</f>
        <v>1369837</v>
      </c>
      <c r="F21" s="77">
        <f>Datos!E26</f>
        <v>0.56719149247537592</v>
      </c>
      <c r="G21" s="78">
        <f>Datos!G26</f>
        <v>22</v>
      </c>
      <c r="H21" s="78">
        <f>Datos!F26</f>
        <v>35</v>
      </c>
      <c r="I21" s="78">
        <f>Datos!I26</f>
        <v>13</v>
      </c>
      <c r="J21" s="77">
        <f>Datos!H26</f>
        <v>0.62857142857142856</v>
      </c>
    </row>
    <row r="22" spans="2:10" ht="15.75" customHeight="1" x14ac:dyDescent="0.3">
      <c r="B22" s="89" t="s">
        <v>28</v>
      </c>
      <c r="C22" s="79" t="str">
        <f>IF(ISNUMBER(VALUE(LEFT(Datos!B27,4))),MID(Datos!B27,6,100),Datos!B27)</f>
        <v>FERNANDO CHAGUENDO</v>
      </c>
      <c r="D22" s="80">
        <f>Datos!C27</f>
        <v>4616221.8608501228</v>
      </c>
      <c r="E22" s="81">
        <f>Datos!D27</f>
        <v>1824743.06</v>
      </c>
      <c r="F22" s="82">
        <f>Datos!E27</f>
        <v>0.39528928959752285</v>
      </c>
      <c r="G22" s="83">
        <f>Datos!G27</f>
        <v>16</v>
      </c>
      <c r="H22" s="83">
        <f>Datos!F27</f>
        <v>35</v>
      </c>
      <c r="I22" s="83">
        <f>Datos!I27</f>
        <v>19</v>
      </c>
      <c r="J22" s="82">
        <f>Datos!H27</f>
        <v>0.45714285714285713</v>
      </c>
    </row>
    <row r="23" spans="2:10" ht="16.05" customHeight="1" x14ac:dyDescent="0.3">
      <c r="B23" s="84" t="s">
        <v>91</v>
      </c>
      <c r="C23" s="105"/>
      <c r="D23" s="85">
        <f>SUM(D15:D22)</f>
        <v>26249599.999999993</v>
      </c>
      <c r="E23" s="86">
        <f>SUM(E15:E22)</f>
        <v>18527194.469999999</v>
      </c>
      <c r="F23" s="87">
        <f>E23/D23</f>
        <v>0.70580863975070107</v>
      </c>
      <c r="G23" s="88">
        <f>SUM(G15:G22)</f>
        <v>174</v>
      </c>
      <c r="H23" s="88">
        <f>SUM(H15:H22)</f>
        <v>260</v>
      </c>
      <c r="I23" s="88">
        <f>SUM(I15:I22)</f>
        <v>86</v>
      </c>
      <c r="J23" s="87">
        <f>G23/H23</f>
        <v>0.66923076923076918</v>
      </c>
    </row>
    <row r="24" spans="2:10" ht="15.75" customHeight="1" x14ac:dyDescent="0.3">
      <c r="B24" s="90" t="s">
        <v>81</v>
      </c>
      <c r="C24" s="74" t="str">
        <f>IF(ISNUMBER(VALUE(LEFT(Datos!B12,4))),MID(Datos!B12,6,100),Datos!B12)</f>
        <v>LEYDI CAROLINA VICTORIA OJEDA</v>
      </c>
      <c r="D24" s="75">
        <f>Datos!C12</f>
        <v>2115234.3998289602</v>
      </c>
      <c r="E24" s="76">
        <f>Datos!D12</f>
        <v>1066890.82</v>
      </c>
      <c r="F24" s="77">
        <f>Datos!E12</f>
        <v>0.50438420445803545</v>
      </c>
      <c r="G24" s="78">
        <f>Datos!G12</f>
        <v>18</v>
      </c>
      <c r="H24" s="78">
        <f>Datos!F12</f>
        <v>35</v>
      </c>
      <c r="I24" s="78">
        <f>Datos!I12</f>
        <v>17</v>
      </c>
      <c r="J24" s="77">
        <f>Datos!H12</f>
        <v>0.51428571428571423</v>
      </c>
    </row>
    <row r="25" spans="2:10" ht="15.75" customHeight="1" x14ac:dyDescent="0.3">
      <c r="B25" s="90" t="s">
        <v>81</v>
      </c>
      <c r="C25" s="79" t="str">
        <f>IF(ISNUMBER(VALUE(LEFT(Datos!B13,4))),MID(Datos!B13,6,100),Datos!B13)</f>
        <v>MAYI KATERINE PEREZ ORTIZ</v>
      </c>
      <c r="D25" s="80">
        <f>Datos!C13</f>
        <v>2350449.4213981228</v>
      </c>
      <c r="E25" s="81">
        <f>Datos!D13</f>
        <v>2279179.2400000002</v>
      </c>
      <c r="F25" s="82">
        <f>Datos!E13</f>
        <v>0.96967806209770357</v>
      </c>
      <c r="G25" s="83">
        <f>Datos!G13</f>
        <v>28</v>
      </c>
      <c r="H25" s="83">
        <f>Datos!F13</f>
        <v>35</v>
      </c>
      <c r="I25" s="83">
        <f>Datos!I13</f>
        <v>7</v>
      </c>
      <c r="J25" s="82">
        <f>Datos!H13</f>
        <v>0.8</v>
      </c>
    </row>
    <row r="26" spans="2:10" ht="15.75" customHeight="1" x14ac:dyDescent="0.3">
      <c r="B26" s="90" t="s">
        <v>81</v>
      </c>
      <c r="C26" s="74" t="str">
        <f>IF(ISNUMBER(VALUE(LEFT(Datos!B14,4))),MID(Datos!B14,6,100),Datos!B14)</f>
        <v>NICOL CRUZ</v>
      </c>
      <c r="D26" s="75">
        <f>Datos!C14</f>
        <v>2027779.2395152654</v>
      </c>
      <c r="E26" s="76">
        <f>Datos!D14</f>
        <v>852615</v>
      </c>
      <c r="F26" s="77">
        <f>Datos!E14</f>
        <v>0.42046736813609703</v>
      </c>
      <c r="G26" s="78">
        <f>Datos!G14</f>
        <v>21</v>
      </c>
      <c r="H26" s="78">
        <f>Datos!F14</f>
        <v>35</v>
      </c>
      <c r="I26" s="78">
        <f>Datos!I14</f>
        <v>14</v>
      </c>
      <c r="J26" s="77">
        <f>Datos!H14</f>
        <v>0.6</v>
      </c>
    </row>
    <row r="27" spans="2:10" ht="15.75" customHeight="1" x14ac:dyDescent="0.3">
      <c r="B27" s="90" t="s">
        <v>81</v>
      </c>
      <c r="C27" s="79" t="str">
        <f>IF(ISNUMBER(VALUE(LEFT(Datos!B15,4))),MID(Datos!B15,6,100),Datos!B15)</f>
        <v>CRISTIAN CALLE</v>
      </c>
      <c r="D27" s="80">
        <f>Datos!C15</f>
        <v>1995472.1419404752</v>
      </c>
      <c r="E27" s="81">
        <f>Datos!D15</f>
        <v>1295178.03</v>
      </c>
      <c r="F27" s="82">
        <f>Datos!E15</f>
        <v>0.64905843723807555</v>
      </c>
      <c r="G27" s="83">
        <f>Datos!G15</f>
        <v>27</v>
      </c>
      <c r="H27" s="83">
        <f>Datos!F15</f>
        <v>35</v>
      </c>
      <c r="I27" s="83">
        <f>Datos!I15</f>
        <v>8</v>
      </c>
      <c r="J27" s="82">
        <f>Datos!H15</f>
        <v>0.77142857142857146</v>
      </c>
    </row>
    <row r="28" spans="2:10" ht="15.75" customHeight="1" x14ac:dyDescent="0.3">
      <c r="B28" s="90" t="s">
        <v>81</v>
      </c>
      <c r="C28" s="74" t="str">
        <f>IF(ISNUMBER(VALUE(LEFT(Datos!B16,4))),MID(Datos!B16,6,100),Datos!B16)</f>
        <v>JUAN CAMILO SOTELO</v>
      </c>
      <c r="D28" s="75">
        <f>Datos!C16</f>
        <v>2883608.0195848034</v>
      </c>
      <c r="E28" s="76">
        <f>Datos!D16</f>
        <v>2795096.26</v>
      </c>
      <c r="F28" s="77">
        <f>Datos!E16</f>
        <v>0.96930520411108168</v>
      </c>
      <c r="G28" s="78">
        <f>Datos!G16</f>
        <v>16</v>
      </c>
      <c r="H28" s="78">
        <f>Datos!F16</f>
        <v>25</v>
      </c>
      <c r="I28" s="78">
        <f>Datos!I16</f>
        <v>9</v>
      </c>
      <c r="J28" s="77">
        <f>Datos!H16</f>
        <v>0.64</v>
      </c>
    </row>
    <row r="29" spans="2:10" ht="15.75" customHeight="1" x14ac:dyDescent="0.3">
      <c r="B29" s="90" t="s">
        <v>81</v>
      </c>
      <c r="C29" s="79" t="str">
        <f>IF(ISNUMBER(VALUE(LEFT(Datos!B17,4))),MID(Datos!B17,6,100),Datos!B17)</f>
        <v>LINA TRUJILLO</v>
      </c>
      <c r="D29" s="80">
        <f>Datos!C17</f>
        <v>2192336.4590532691</v>
      </c>
      <c r="E29" s="81">
        <f>Datos!D17</f>
        <v>2182941.67</v>
      </c>
      <c r="F29" s="82">
        <f>Datos!E17</f>
        <v>0.99571471385494992</v>
      </c>
      <c r="G29" s="83">
        <f>Datos!G17</f>
        <v>33</v>
      </c>
      <c r="H29" s="83">
        <f>Datos!F17</f>
        <v>35</v>
      </c>
      <c r="I29" s="83">
        <f>Datos!I17</f>
        <v>2</v>
      </c>
      <c r="J29" s="82">
        <f>Datos!H17</f>
        <v>0.94285714285714284</v>
      </c>
    </row>
    <row r="30" spans="2:10" ht="15.75" customHeight="1" x14ac:dyDescent="0.3">
      <c r="B30" s="90" t="s">
        <v>81</v>
      </c>
      <c r="C30" s="74" t="str">
        <f>IF(ISNUMBER(VALUE(LEFT(Datos!B18,4))),MID(Datos!B18,6,100),Datos!B18)</f>
        <v>ANGELA AMPUDIA MOLINA</v>
      </c>
      <c r="D30" s="75">
        <f>Datos!C18</f>
        <v>2822450.2144699804</v>
      </c>
      <c r="E30" s="76">
        <f>Datos!D18</f>
        <v>1959917</v>
      </c>
      <c r="F30" s="77">
        <f>Datos!E18</f>
        <v>0.69440268244662273</v>
      </c>
      <c r="G30" s="78">
        <f>Datos!G18</f>
        <v>23</v>
      </c>
      <c r="H30" s="78">
        <f>Datos!F18</f>
        <v>25</v>
      </c>
      <c r="I30" s="78">
        <f>Datos!I18</f>
        <v>2</v>
      </c>
      <c r="J30" s="77">
        <f>Datos!H18</f>
        <v>0.92</v>
      </c>
    </row>
    <row r="31" spans="2:10" ht="15.75" customHeight="1" x14ac:dyDescent="0.3">
      <c r="B31" s="90" t="s">
        <v>81</v>
      </c>
      <c r="C31" s="79" t="str">
        <f>IF(ISNUMBER(VALUE(LEFT(Datos!B19,4))),MID(Datos!B19,6,100),Datos!B19)</f>
        <v>STEPHANIE MUNÑOZ</v>
      </c>
      <c r="D31" s="80">
        <f>Datos!C19</f>
        <v>1875070.1152175944</v>
      </c>
      <c r="E31" s="81">
        <f>Datos!D19</f>
        <v>1673955.02</v>
      </c>
      <c r="F31" s="82">
        <f>Datos!E19</f>
        <v>0.89274262675011717</v>
      </c>
      <c r="G31" s="83">
        <f>Datos!G19</f>
        <v>24</v>
      </c>
      <c r="H31" s="83">
        <f>Datos!F19</f>
        <v>35</v>
      </c>
      <c r="I31" s="83">
        <f>Datos!I19</f>
        <v>11</v>
      </c>
      <c r="J31" s="82">
        <f>Datos!H19</f>
        <v>0.68571428571428572</v>
      </c>
    </row>
    <row r="32" spans="2:10" ht="16.05" customHeight="1" x14ac:dyDescent="0.3">
      <c r="B32" s="84" t="s">
        <v>92</v>
      </c>
      <c r="C32" s="105"/>
      <c r="D32" s="85">
        <f>SUM(D24:D31)</f>
        <v>18262400.011008471</v>
      </c>
      <c r="E32" s="86">
        <f>SUM(E24:E31)</f>
        <v>14105773.039999999</v>
      </c>
      <c r="F32" s="87">
        <f>E32/D32</f>
        <v>0.77239426534831779</v>
      </c>
      <c r="G32" s="88">
        <f>SUM(G24:G31)</f>
        <v>190</v>
      </c>
      <c r="H32" s="88">
        <f>SUM(H24:H31)</f>
        <v>260</v>
      </c>
      <c r="I32" s="88">
        <f>SUM(I24:I31)</f>
        <v>70</v>
      </c>
      <c r="J32" s="87">
        <f>G32/H32</f>
        <v>0.73076923076923073</v>
      </c>
    </row>
    <row r="33" spans="2:10" ht="15.75" customHeight="1" x14ac:dyDescent="0.3">
      <c r="B33" s="91" t="s">
        <v>39</v>
      </c>
      <c r="C33" s="74" t="str">
        <f>IF(ISNUMBER(VALUE(LEFT(Datos!B28,4))),MID(Datos!B28,6,100),Datos!B28)</f>
        <v>VICTOR MANUEL GEMBUEL YANDI</v>
      </c>
      <c r="D33" s="75">
        <f>Datos!C28</f>
        <v>2620062.3345599254</v>
      </c>
      <c r="E33" s="76">
        <f>Datos!D28</f>
        <v>2547302.16</v>
      </c>
      <c r="F33" s="77">
        <f>Datos!E28</f>
        <v>0.97222960171588957</v>
      </c>
      <c r="G33" s="78">
        <f>Datos!G28</f>
        <v>19</v>
      </c>
      <c r="H33" s="78">
        <f>Datos!F28</f>
        <v>35</v>
      </c>
      <c r="I33" s="78">
        <f>Datos!I28</f>
        <v>16</v>
      </c>
      <c r="J33" s="77">
        <f>Datos!H28</f>
        <v>0.54285714285714282</v>
      </c>
    </row>
    <row r="34" spans="2:10" ht="15.75" customHeight="1" x14ac:dyDescent="0.3">
      <c r="B34" s="91" t="s">
        <v>39</v>
      </c>
      <c r="C34" s="79" t="str">
        <f>IF(ISNUMBER(VALUE(LEFT(Datos!B29,4))),MID(Datos!B29,6,100),Datos!B29)</f>
        <v>SEBASTIAN MAURICIO MOSQUERA</v>
      </c>
      <c r="D34" s="80">
        <f>Datos!C29</f>
        <v>2458438.6083827037</v>
      </c>
      <c r="E34" s="81">
        <f>Datos!D29</f>
        <v>1555740.1600000001</v>
      </c>
      <c r="F34" s="82">
        <f>Datos!E29</f>
        <v>0.63281635534655534</v>
      </c>
      <c r="G34" s="83">
        <f>Datos!G29</f>
        <v>28</v>
      </c>
      <c r="H34" s="83">
        <f>Datos!F29</f>
        <v>35</v>
      </c>
      <c r="I34" s="83">
        <f>Datos!I29</f>
        <v>7</v>
      </c>
      <c r="J34" s="82">
        <f>Datos!H29</f>
        <v>0.8</v>
      </c>
    </row>
    <row r="35" spans="2:10" ht="15.75" customHeight="1" x14ac:dyDescent="0.3">
      <c r="B35" s="91" t="s">
        <v>39</v>
      </c>
      <c r="C35" s="74" t="str">
        <f>IF(ISNUMBER(VALUE(LEFT(Datos!B30,4))),MID(Datos!B30,6,100),Datos!B30)</f>
        <v xml:space="preserve"> JUAN CAMILO PITO</v>
      </c>
      <c r="D35" s="75">
        <f>Datos!C30</f>
        <v>2514139.0406630151</v>
      </c>
      <c r="E35" s="76">
        <f>Datos!D30</f>
        <v>2231832.08</v>
      </c>
      <c r="F35" s="77">
        <f>Datos!E30</f>
        <v>0.88771227203545333</v>
      </c>
      <c r="G35" s="78">
        <f>Datos!G30</f>
        <v>12</v>
      </c>
      <c r="H35" s="78">
        <f>Datos!F30</f>
        <v>25</v>
      </c>
      <c r="I35" s="78">
        <f>Datos!I30</f>
        <v>13</v>
      </c>
      <c r="J35" s="77">
        <f>Datos!H30</f>
        <v>0.48</v>
      </c>
    </row>
    <row r="36" spans="2:10" ht="15.75" customHeight="1" x14ac:dyDescent="0.3">
      <c r="B36" s="91" t="s">
        <v>39</v>
      </c>
      <c r="C36" s="79" t="str">
        <f>IF(ISNUMBER(VALUE(LEFT(Datos!B31,4))),MID(Datos!B31,6,100),Datos!B31)</f>
        <v>VICTOR CIFUENTES</v>
      </c>
      <c r="D36" s="80">
        <f>Datos!C31</f>
        <v>2647652.6657314487</v>
      </c>
      <c r="E36" s="81">
        <f>Datos!D31</f>
        <v>1914240.2400000002</v>
      </c>
      <c r="F36" s="82">
        <f>Datos!E31</f>
        <v>0.72299522697066698</v>
      </c>
      <c r="G36" s="83">
        <f>Datos!G31</f>
        <v>31</v>
      </c>
      <c r="H36" s="83">
        <f>Datos!F31</f>
        <v>35</v>
      </c>
      <c r="I36" s="83">
        <f>Datos!I31</f>
        <v>4</v>
      </c>
      <c r="J36" s="82">
        <f>Datos!H31</f>
        <v>0.88571428571428568</v>
      </c>
    </row>
    <row r="37" spans="2:10" ht="15.75" customHeight="1" x14ac:dyDescent="0.3">
      <c r="B37" s="91" t="s">
        <v>39</v>
      </c>
      <c r="C37" s="74" t="str">
        <f>IF(ISNUMBER(VALUE(LEFT(Datos!B32,4))),MID(Datos!B32,6,100),Datos!B32)</f>
        <v>LAURA INES GARCIA</v>
      </c>
      <c r="D37" s="75">
        <f>Datos!C32</f>
        <v>2470680.7678319723</v>
      </c>
      <c r="E37" s="76">
        <f>Datos!D32</f>
        <v>2736334.38</v>
      </c>
      <c r="F37" s="77">
        <f>Datos!E32</f>
        <v>1.1075224349607655</v>
      </c>
      <c r="G37" s="78">
        <f>Datos!G32</f>
        <v>21</v>
      </c>
      <c r="H37" s="78">
        <f>Datos!F32</f>
        <v>35</v>
      </c>
      <c r="I37" s="78">
        <f>Datos!I32</f>
        <v>14</v>
      </c>
      <c r="J37" s="77">
        <f>Datos!H32</f>
        <v>0.6</v>
      </c>
    </row>
    <row r="38" spans="2:10" ht="15.75" customHeight="1" x14ac:dyDescent="0.3">
      <c r="B38" s="91" t="s">
        <v>39</v>
      </c>
      <c r="C38" s="79" t="str">
        <f>IF(ISNUMBER(VALUE(LEFT(Datos!B33,4))),MID(Datos!B33,6,100),Datos!B33)</f>
        <v>MARIA CRISTINA DIAZ</v>
      </c>
      <c r="D38" s="80">
        <f>Datos!C33</f>
        <v>2270254.174878573</v>
      </c>
      <c r="E38" s="81">
        <f>Datos!D33</f>
        <v>3103013</v>
      </c>
      <c r="F38" s="82">
        <f>Datos!E33</f>
        <v>1.3668130354461161</v>
      </c>
      <c r="G38" s="83">
        <f>Datos!G33</f>
        <v>25</v>
      </c>
      <c r="H38" s="83">
        <f>Datos!F33</f>
        <v>25</v>
      </c>
      <c r="I38" s="83">
        <f>Datos!I33</f>
        <v>0</v>
      </c>
      <c r="J38" s="82">
        <f>Datos!H33</f>
        <v>1</v>
      </c>
    </row>
    <row r="39" spans="2:10" ht="15.75" customHeight="1" x14ac:dyDescent="0.3">
      <c r="B39" s="91" t="s">
        <v>39</v>
      </c>
      <c r="C39" s="74" t="str">
        <f>IF(ISNUMBER(VALUE(LEFT(Datos!B34,4))),MID(Datos!B34,6,100),Datos!B34)</f>
        <v>DORIS ROSAS MONCADA</v>
      </c>
      <c r="D39" s="75">
        <f>Datos!C34</f>
        <v>2328805.5815734905</v>
      </c>
      <c r="E39" s="76">
        <f>Datos!D34</f>
        <v>1368875.08</v>
      </c>
      <c r="F39" s="77">
        <f>Datos!E34</f>
        <v>0.58780135655424715</v>
      </c>
      <c r="G39" s="78">
        <f>Datos!G34</f>
        <v>14</v>
      </c>
      <c r="H39" s="78">
        <f>Datos!F34</f>
        <v>35</v>
      </c>
      <c r="I39" s="78">
        <f>Datos!I34</f>
        <v>21</v>
      </c>
      <c r="J39" s="77">
        <f>Datos!H34</f>
        <v>0.4</v>
      </c>
    </row>
    <row r="40" spans="2:10" ht="15.75" customHeight="1" x14ac:dyDescent="0.3">
      <c r="B40" s="91" t="s">
        <v>39</v>
      </c>
      <c r="C40" s="79" t="str">
        <f>IF(ISNUMBER(VALUE(LEFT(Datos!B35,4))),MID(Datos!B35,6,100),Datos!B35)</f>
        <v>FREYDER SEBASTIAN ROSERO GOMEZ</v>
      </c>
      <c r="D40" s="80">
        <f>Datos!C35</f>
        <v>1534766.8077266652</v>
      </c>
      <c r="E40" s="81">
        <f>Datos!D35</f>
        <v>1653649</v>
      </c>
      <c r="F40" s="82">
        <f>Datos!E35</f>
        <v>1.07745944965374</v>
      </c>
      <c r="G40" s="83">
        <f>Datos!G35</f>
        <v>23</v>
      </c>
      <c r="H40" s="83">
        <f>Datos!F35</f>
        <v>35</v>
      </c>
      <c r="I40" s="83">
        <f>Datos!I35</f>
        <v>12</v>
      </c>
      <c r="J40" s="82">
        <f>Datos!H35</f>
        <v>0.65714285714285714</v>
      </c>
    </row>
    <row r="41" spans="2:10" ht="16.05" customHeight="1" x14ac:dyDescent="0.3">
      <c r="B41" s="84" t="s">
        <v>93</v>
      </c>
      <c r="C41" s="105"/>
      <c r="D41" s="85">
        <f>SUM(D33:D40)</f>
        <v>18844799.981347796</v>
      </c>
      <c r="E41" s="86">
        <f>SUM(E33:E40)</f>
        <v>17110986.100000001</v>
      </c>
      <c r="F41" s="87">
        <f>E41/D41</f>
        <v>0.90799510299584563</v>
      </c>
      <c r="G41" s="88">
        <f>SUM(G33:G40)</f>
        <v>173</v>
      </c>
      <c r="H41" s="88">
        <f>SUM(H33:H40)</f>
        <v>260</v>
      </c>
      <c r="I41" s="88">
        <f>SUM(I33:I40)</f>
        <v>87</v>
      </c>
      <c r="J41" s="87">
        <f>G41/H41</f>
        <v>0.66538461538461535</v>
      </c>
    </row>
    <row r="42" spans="2:10" ht="15.75" customHeight="1" x14ac:dyDescent="0.3">
      <c r="B42" s="92" t="s">
        <v>48</v>
      </c>
      <c r="C42" s="74" t="str">
        <f>IF(ISNUMBER(VALUE(LEFT(Datos!B36,4))),MID(Datos!B36,6,100),Datos!B36)</f>
        <v>ANDERSON PAJOY</v>
      </c>
      <c r="D42" s="75">
        <f>Datos!C36</f>
        <v>14768000</v>
      </c>
      <c r="E42" s="76">
        <f>Datos!D36</f>
        <v>18151560.84</v>
      </c>
      <c r="F42" s="77">
        <f>Datos!E36</f>
        <v>1.229114358071506</v>
      </c>
      <c r="G42" s="78">
        <f>Datos!G36</f>
        <v>4</v>
      </c>
      <c r="H42" s="78">
        <f>Datos!F36</f>
        <v>10</v>
      </c>
      <c r="I42" s="78">
        <f>Datos!I36</f>
        <v>6</v>
      </c>
      <c r="J42" s="77">
        <f>Datos!H36</f>
        <v>0.4</v>
      </c>
    </row>
    <row r="43" spans="2:10" ht="16.05" customHeight="1" x14ac:dyDescent="0.3">
      <c r="B43" s="84" t="s">
        <v>94</v>
      </c>
      <c r="C43" s="105"/>
      <c r="D43" s="85">
        <f>SUM(D42:D42)</f>
        <v>14768000</v>
      </c>
      <c r="E43" s="86">
        <f>SUM(E42:E42)</f>
        <v>18151560.84</v>
      </c>
      <c r="F43" s="87">
        <f>E43/D43</f>
        <v>1.229114358071506</v>
      </c>
      <c r="G43" s="88">
        <f>SUM(G42:G42)</f>
        <v>4</v>
      </c>
      <c r="H43" s="88">
        <f>SUM(H42:H42)</f>
        <v>10</v>
      </c>
      <c r="I43" s="88">
        <f>SUM(I42:I42)</f>
        <v>6</v>
      </c>
      <c r="J43" s="87">
        <f>G43/H43</f>
        <v>0.4</v>
      </c>
    </row>
    <row r="44" spans="2:10" ht="15.75" customHeight="1" x14ac:dyDescent="0.3">
      <c r="B44" s="93" t="s">
        <v>50</v>
      </c>
      <c r="C44" s="74" t="str">
        <f>IF(ISNUMBER(VALUE(LEFT(Datos!B37,4))),MID(Datos!B37,6,100),Datos!B37)</f>
        <v>ANGIE PAOLA CHAGUENDO</v>
      </c>
      <c r="D44" s="75">
        <f>Datos!C37</f>
        <v>744134.18559999997</v>
      </c>
      <c r="E44" s="76">
        <f>Datos!D37</f>
        <v>647245</v>
      </c>
      <c r="F44" s="77">
        <f>Datos!E37</f>
        <v>0.86979608318642476</v>
      </c>
      <c r="G44" s="78">
        <f>Datos!G37</f>
        <v>14</v>
      </c>
      <c r="H44" s="78">
        <f>Datos!F37</f>
        <v>25</v>
      </c>
      <c r="I44" s="78">
        <f>Datos!I37</f>
        <v>11</v>
      </c>
      <c r="J44" s="77">
        <f>Datos!H37</f>
        <v>0.56000000000000005</v>
      </c>
    </row>
    <row r="45" spans="2:10" ht="15.75" customHeight="1" x14ac:dyDescent="0.3">
      <c r="B45" s="93" t="s">
        <v>50</v>
      </c>
      <c r="C45" s="79" t="str">
        <f>IF(ISNUMBER(VALUE(LEFT(Datos!B38,4))),MID(Datos!B38,6,100),Datos!B38)</f>
        <v>DAVID PERDOMO</v>
      </c>
      <c r="D45" s="80">
        <f>Datos!C38</f>
        <v>744134.18559999997</v>
      </c>
      <c r="E45" s="81">
        <f>Datos!D38</f>
        <v>760610</v>
      </c>
      <c r="F45" s="82">
        <f>Datos!E38</f>
        <v>1.0221409185585466</v>
      </c>
      <c r="G45" s="83">
        <f>Datos!G38</f>
        <v>14</v>
      </c>
      <c r="H45" s="83">
        <f>Datos!F38</f>
        <v>25</v>
      </c>
      <c r="I45" s="83">
        <f>Datos!I38</f>
        <v>11</v>
      </c>
      <c r="J45" s="82">
        <f>Datos!H38</f>
        <v>0.56000000000000005</v>
      </c>
    </row>
    <row r="46" spans="2:10" ht="15.75" customHeight="1" x14ac:dyDescent="0.3">
      <c r="B46" s="93" t="s">
        <v>50</v>
      </c>
      <c r="C46" s="74" t="str">
        <f>IF(ISNUMBER(VALUE(LEFT(Datos!B39,4))),MID(Datos!B39,6,100),Datos!B39)</f>
        <v>LEYDI CAROLINA ZUÑIGA CASTILLO</v>
      </c>
      <c r="D46" s="75">
        <f>Datos!C39</f>
        <v>744134.18559999997</v>
      </c>
      <c r="E46" s="76">
        <f>Datos!D39</f>
        <v>985480</v>
      </c>
      <c r="F46" s="77">
        <f>Datos!E39</f>
        <v>1.3243310401139565</v>
      </c>
      <c r="G46" s="78">
        <f>Datos!G39</f>
        <v>26</v>
      </c>
      <c r="H46" s="78">
        <f>Datos!F39</f>
        <v>25</v>
      </c>
      <c r="I46" s="78">
        <f>Datos!I39</f>
        <v>-1</v>
      </c>
      <c r="J46" s="77">
        <f>Datos!H39</f>
        <v>1.04</v>
      </c>
    </row>
    <row r="47" spans="2:10" ht="15.75" customHeight="1" x14ac:dyDescent="0.3">
      <c r="B47" s="93" t="s">
        <v>50</v>
      </c>
      <c r="C47" s="79" t="str">
        <f>IF(ISNUMBER(VALUE(LEFT(Datos!B40,4))),MID(Datos!B40,6,100),Datos!B40)</f>
        <v>ALEXANDRA ERAZO</v>
      </c>
      <c r="D47" s="80">
        <f>Datos!C40</f>
        <v>744134.18559999997</v>
      </c>
      <c r="E47" s="81">
        <f>Datos!D40</f>
        <v>139684</v>
      </c>
      <c r="F47" s="82">
        <f>Datos!E40</f>
        <v>0.18771345639412054</v>
      </c>
      <c r="G47" s="83">
        <f>Datos!G40</f>
        <v>1</v>
      </c>
      <c r="H47" s="83">
        <f>Datos!F40</f>
        <v>25</v>
      </c>
      <c r="I47" s="83">
        <f>Datos!I40</f>
        <v>24</v>
      </c>
      <c r="J47" s="82">
        <f>Datos!H40</f>
        <v>0.04</v>
      </c>
    </row>
    <row r="48" spans="2:10" ht="15.75" customHeight="1" x14ac:dyDescent="0.3">
      <c r="B48" s="93" t="s">
        <v>50</v>
      </c>
      <c r="C48" s="74" t="str">
        <f>IF(ISNUMBER(VALUE(LEFT(Datos!B41,4))),MID(Datos!B41,6,100),Datos!B41)</f>
        <v>DIANA XIMENA SALAZAR</v>
      </c>
      <c r="D48" s="75">
        <f>Datos!C41</f>
        <v>744134.18559999997</v>
      </c>
      <c r="E48" s="76">
        <f>Datos!D41</f>
        <v>270644</v>
      </c>
      <c r="F48" s="77">
        <f>Datos!E41</f>
        <v>0.36370322078642048</v>
      </c>
      <c r="G48" s="78">
        <f>Datos!G41</f>
        <v>9</v>
      </c>
      <c r="H48" s="78">
        <f>Datos!F41</f>
        <v>25</v>
      </c>
      <c r="I48" s="78">
        <f>Datos!I41</f>
        <v>16</v>
      </c>
      <c r="J48" s="77">
        <f>Datos!H41</f>
        <v>0.36</v>
      </c>
    </row>
    <row r="49" spans="2:10" ht="15.75" customHeight="1" x14ac:dyDescent="0.3">
      <c r="B49" s="93" t="s">
        <v>50</v>
      </c>
      <c r="C49" s="79" t="str">
        <f>IF(ISNUMBER(VALUE(LEFT(Datos!B42,4))),MID(Datos!B42,6,100),Datos!B42)</f>
        <v>LUIS ALFONSO CAMAYO</v>
      </c>
      <c r="D49" s="80">
        <f>Datos!C42</f>
        <v>744134.18559999997</v>
      </c>
      <c r="E49" s="81">
        <f>Datos!D42</f>
        <v>665385</v>
      </c>
      <c r="F49" s="82">
        <f>Datos!E42</f>
        <v>0.89417340699580405</v>
      </c>
      <c r="G49" s="83">
        <f>Datos!G42</f>
        <v>21</v>
      </c>
      <c r="H49" s="83">
        <f>Datos!F42</f>
        <v>25</v>
      </c>
      <c r="I49" s="83">
        <f>Datos!I42</f>
        <v>4</v>
      </c>
      <c r="J49" s="82">
        <f>Datos!H42</f>
        <v>0.84</v>
      </c>
    </row>
    <row r="50" spans="2:10" ht="15.75" customHeight="1" x14ac:dyDescent="0.3">
      <c r="B50" s="93" t="s">
        <v>50</v>
      </c>
      <c r="C50" s="74" t="str">
        <f>IF(ISNUMBER(VALUE(LEFT(Datos!B43,4))),MID(Datos!B43,6,100),Datos!B43)</f>
        <v>JUAN CARLOS MORALES</v>
      </c>
      <c r="D50" s="75">
        <f>Datos!C43</f>
        <v>893894.18559999997</v>
      </c>
      <c r="E50" s="76">
        <f>Datos!D43</f>
        <v>3057770</v>
      </c>
      <c r="F50" s="77">
        <f>Datos!E43</f>
        <v>3.4207292644459506</v>
      </c>
      <c r="G50" s="78">
        <f>Datos!G43</f>
        <v>14</v>
      </c>
      <c r="H50" s="78">
        <f>Datos!F43</f>
        <v>20</v>
      </c>
      <c r="I50" s="78">
        <f>Datos!I43</f>
        <v>6</v>
      </c>
      <c r="J50" s="77">
        <f>Datos!H43</f>
        <v>0.7</v>
      </c>
    </row>
    <row r="51" spans="2:10" ht="15.75" customHeight="1" x14ac:dyDescent="0.3">
      <c r="B51" s="93" t="s">
        <v>50</v>
      </c>
      <c r="C51" s="79" t="str">
        <f>IF(ISNUMBER(VALUE(LEFT(Datos!B44,4))),MID(Datos!B44,6,100),Datos!B44)</f>
        <v>ESTEBAN IMBACHI</v>
      </c>
      <c r="D51" s="80">
        <f>Datos!C44</f>
        <v>893894.14399999985</v>
      </c>
      <c r="E51" s="81">
        <f>Datos!D44</f>
        <v>1140773</v>
      </c>
      <c r="F51" s="82">
        <f>Datos!E44</f>
        <v>1.2761835477467902</v>
      </c>
      <c r="G51" s="83">
        <f>Datos!G44</f>
        <v>8</v>
      </c>
      <c r="H51" s="83">
        <f>Datos!F44</f>
        <v>20</v>
      </c>
      <c r="I51" s="83">
        <f>Datos!I44</f>
        <v>12</v>
      </c>
      <c r="J51" s="82">
        <f>Datos!H44</f>
        <v>0.4</v>
      </c>
    </row>
    <row r="52" spans="2:10" ht="16.05" customHeight="1" x14ac:dyDescent="0.3">
      <c r="B52" s="84" t="s">
        <v>95</v>
      </c>
      <c r="C52" s="105"/>
      <c r="D52" s="85">
        <f>SUM(D44:D51)</f>
        <v>6252593.4431999996</v>
      </c>
      <c r="E52" s="86">
        <f>SUM(E44:E51)</f>
        <v>7667591</v>
      </c>
      <c r="F52" s="87">
        <f>E52/D52</f>
        <v>1.2263057033300124</v>
      </c>
      <c r="G52" s="88">
        <f>SUM(G44:G51)</f>
        <v>107</v>
      </c>
      <c r="H52" s="88">
        <f>SUM(H44:H51)</f>
        <v>190</v>
      </c>
      <c r="I52" s="88">
        <f>SUM(I44:I51)</f>
        <v>83</v>
      </c>
      <c r="J52" s="87">
        <f>G52/H52</f>
        <v>0.56315789473684208</v>
      </c>
    </row>
    <row r="53" spans="2:10" ht="15.75" customHeight="1" x14ac:dyDescent="0.3">
      <c r="B53" s="94" t="s">
        <v>10</v>
      </c>
      <c r="C53" s="74" t="str">
        <f>IF(ISNUMBER(VALUE(LEFT(Datos!B2,4))),MID(Datos!B2,6,100),Datos!B2)</f>
        <v>CRISTIAN COTAZO</v>
      </c>
      <c r="D53" s="75">
        <f>Datos!C2</f>
        <v>4268013.2768000001</v>
      </c>
      <c r="E53" s="76">
        <f>Datos!D2</f>
        <v>1143593.3799999999</v>
      </c>
      <c r="F53" s="77">
        <f>Datos!E2</f>
        <v>0.26794513180554685</v>
      </c>
      <c r="G53" s="78">
        <f>Datos!G2</f>
        <v>5</v>
      </c>
      <c r="H53" s="78">
        <f>Datos!F2</f>
        <v>15</v>
      </c>
      <c r="I53" s="78">
        <f>Datos!I2</f>
        <v>10</v>
      </c>
      <c r="J53" s="77">
        <f>Datos!H2</f>
        <v>0.33333333333333331</v>
      </c>
    </row>
    <row r="54" spans="2:10" ht="15.75" customHeight="1" x14ac:dyDescent="0.3">
      <c r="B54" s="94" t="s">
        <v>10</v>
      </c>
      <c r="C54" s="79" t="str">
        <f>IF(ISNUMBER(VALUE(LEFT(Datos!B3,4))),MID(Datos!B3,6,100),Datos!B3)</f>
        <v>NAVIA LOPEZ HAROLD</v>
      </c>
      <c r="D54" s="80">
        <f>Datos!C3</f>
        <v>5782400</v>
      </c>
      <c r="E54" s="81">
        <f>Datos!D3</f>
        <v>2715937.79</v>
      </c>
      <c r="F54" s="82">
        <f>Datos!E3</f>
        <v>0.46969040363862757</v>
      </c>
      <c r="G54" s="83">
        <f>Datos!G3</f>
        <v>8</v>
      </c>
      <c r="H54" s="83">
        <f>Datos!F3</f>
        <v>15</v>
      </c>
      <c r="I54" s="83">
        <f>Datos!I3</f>
        <v>7</v>
      </c>
      <c r="J54" s="82">
        <f>Datos!H3</f>
        <v>0.53333333333333333</v>
      </c>
    </row>
    <row r="55" spans="2:10" ht="16.05" customHeight="1" x14ac:dyDescent="0.3">
      <c r="B55" s="84" t="s">
        <v>96</v>
      </c>
      <c r="C55" s="105"/>
      <c r="D55" s="85">
        <f>SUM(D53:D54)</f>
        <v>10050413.276799999</v>
      </c>
      <c r="E55" s="86">
        <f>SUM(E53:E54)</f>
        <v>3859531.17</v>
      </c>
      <c r="F55" s="87">
        <f>E55/D55</f>
        <v>0.38401716065837793</v>
      </c>
      <c r="G55" s="88">
        <f>SUM(G53:G54)</f>
        <v>13</v>
      </c>
      <c r="H55" s="88">
        <f>SUM(H53:H54)</f>
        <v>30</v>
      </c>
      <c r="I55" s="88">
        <f>SUM(I53:I54)</f>
        <v>17</v>
      </c>
      <c r="J55" s="87">
        <f>G55/H55</f>
        <v>0.43333333333333335</v>
      </c>
    </row>
    <row r="56" spans="2:10" ht="15.75" customHeight="1" x14ac:dyDescent="0.3">
      <c r="B56" s="95" t="s">
        <v>58</v>
      </c>
      <c r="C56" s="74" t="str">
        <f>IF(ISNUMBER(VALUE(LEFT(Datos!B45,4))),MID(Datos!B45,6,100),Datos!B45)</f>
        <v>MARIA CAMILA RAMIREZ</v>
      </c>
      <c r="D56" s="75">
        <f>Datos!C45</f>
        <v>2356623.3599999999</v>
      </c>
      <c r="E56" s="76">
        <f>Datos!D45</f>
        <v>1348691.4</v>
      </c>
      <c r="F56" s="77">
        <f>Datos!E45</f>
        <v>0.57229823946071723</v>
      </c>
      <c r="G56" s="78">
        <f>Datos!G45</f>
        <v>22</v>
      </c>
      <c r="H56" s="78">
        <f>Datos!F45</f>
        <v>42</v>
      </c>
      <c r="I56" s="78">
        <f>Datos!I45</f>
        <v>20</v>
      </c>
      <c r="J56" s="77">
        <f>Datos!H45</f>
        <v>0.52380952380952384</v>
      </c>
    </row>
    <row r="57" spans="2:10" ht="15.75" customHeight="1" x14ac:dyDescent="0.3">
      <c r="B57" s="95" t="s">
        <v>58</v>
      </c>
      <c r="C57" s="79" t="str">
        <f>IF(ISNUMBER(VALUE(LEFT(Datos!B46,4))),MID(Datos!B46,6,100),Datos!B46)</f>
        <v>SORY BOLAÑOS</v>
      </c>
      <c r="D57" s="80">
        <f>Datos!C46</f>
        <v>1876992</v>
      </c>
      <c r="E57" s="81">
        <f>Datos!D46</f>
        <v>427028.41000000003</v>
      </c>
      <c r="F57" s="82">
        <f>Datos!E46</f>
        <v>0.22750678212800057</v>
      </c>
      <c r="G57" s="83">
        <f>Datos!G46</f>
        <v>15</v>
      </c>
      <c r="H57" s="83">
        <f>Datos!F46</f>
        <v>42</v>
      </c>
      <c r="I57" s="83">
        <f>Datos!I46</f>
        <v>27</v>
      </c>
      <c r="J57" s="82">
        <f>Datos!H46</f>
        <v>0.35714285714285715</v>
      </c>
    </row>
    <row r="58" spans="2:10" ht="15.75" customHeight="1" x14ac:dyDescent="0.3">
      <c r="B58" s="95" t="s">
        <v>58</v>
      </c>
      <c r="C58" s="74" t="str">
        <f>IF(ISNUMBER(VALUE(LEFT(Datos!B47,4))),MID(Datos!B47,6,100),Datos!B47)</f>
        <v>ANA CRISTINA MAGUIÑA ORTIZ</v>
      </c>
      <c r="D58" s="75">
        <f>Datos!C47</f>
        <v>3320977.92</v>
      </c>
      <c r="E58" s="76">
        <f>Datos!D47</f>
        <v>749429.94</v>
      </c>
      <c r="F58" s="77">
        <f>Datos!E47</f>
        <v>0.22566543893191557</v>
      </c>
      <c r="G58" s="78">
        <f>Datos!G47</f>
        <v>14</v>
      </c>
      <c r="H58" s="78">
        <f>Datos!F47</f>
        <v>42</v>
      </c>
      <c r="I58" s="78">
        <f>Datos!I47</f>
        <v>28</v>
      </c>
      <c r="J58" s="77">
        <f>Datos!H47</f>
        <v>0.33333333333333331</v>
      </c>
    </row>
    <row r="59" spans="2:10" ht="15.75" customHeight="1" x14ac:dyDescent="0.3">
      <c r="B59" s="95" t="s">
        <v>58</v>
      </c>
      <c r="C59" s="79" t="str">
        <f>IF(ISNUMBER(VALUE(LEFT(Datos!B48,4))),MID(Datos!B48,6,100),Datos!B48)</f>
        <v>LIZETH FERNANDA GUZMAN</v>
      </c>
      <c r="D59" s="80">
        <f>Datos!C48</f>
        <v>2558400</v>
      </c>
      <c r="E59" s="81">
        <f>Datos!D48</f>
        <v>1079712.29</v>
      </c>
      <c r="F59" s="82">
        <f>Datos!E48</f>
        <v>0.42202637976860541</v>
      </c>
      <c r="G59" s="83">
        <f>Datos!G48</f>
        <v>23</v>
      </c>
      <c r="H59" s="83">
        <f>Datos!F48</f>
        <v>42</v>
      </c>
      <c r="I59" s="83">
        <f>Datos!I48</f>
        <v>19</v>
      </c>
      <c r="J59" s="82">
        <f>Datos!H48</f>
        <v>0.54761904761904767</v>
      </c>
    </row>
    <row r="60" spans="2:10" ht="16.05" customHeight="1" x14ac:dyDescent="0.3">
      <c r="B60" s="84" t="s">
        <v>97</v>
      </c>
      <c r="C60" s="105"/>
      <c r="D60" s="85">
        <f>SUM(D56:D59)</f>
        <v>10112993.279999999</v>
      </c>
      <c r="E60" s="86">
        <f>SUM(E56:E59)</f>
        <v>3604862.04</v>
      </c>
      <c r="F60" s="87">
        <f>E60/D60</f>
        <v>0.35645846290921301</v>
      </c>
      <c r="G60" s="88">
        <f>SUM(G56:G59)</f>
        <v>74</v>
      </c>
      <c r="H60" s="88">
        <f>SUM(H56:H59)</f>
        <v>168</v>
      </c>
      <c r="I60" s="88">
        <f>SUM(I56:I59)</f>
        <v>94</v>
      </c>
      <c r="J60" s="87">
        <f>G60/H60</f>
        <v>0.44047619047619047</v>
      </c>
    </row>
    <row r="61" spans="2:10" ht="19.5" customHeight="1" x14ac:dyDescent="0.3">
      <c r="B61" s="68" t="s">
        <v>82</v>
      </c>
      <c r="C61" s="105"/>
      <c r="D61" s="69">
        <f>Datos!C50</f>
        <v>135532799.98163295</v>
      </c>
      <c r="E61" s="70">
        <f>Datos!D50</f>
        <v>106533695.81</v>
      </c>
      <c r="F61" s="71">
        <f>E61/D61</f>
        <v>0.78603626446466957</v>
      </c>
      <c r="G61" s="49">
        <f>Datos!G50</f>
        <v>916</v>
      </c>
      <c r="H61" s="49">
        <f>Datos!F50</f>
        <v>1438</v>
      </c>
      <c r="I61" s="106">
        <f>I14+I23+I32+I41+I43+I52+I55+I60</f>
        <v>522</v>
      </c>
      <c r="J61" s="107">
        <f>G61/H61</f>
        <v>0.63699582753824757</v>
      </c>
    </row>
  </sheetData>
  <mergeCells count="2">
    <mergeCell ref="B4:K4"/>
    <mergeCell ref="B1:K3"/>
  </mergeCells>
  <pageMargins left="0.75" right="0.75" top="1" bottom="1" header="0.5" footer="0.5"/>
  <ignoredErrors>
    <ignoredError sqref="F60 F55 F52 F32 F14 F23 F4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I32"/>
  <sheetViews>
    <sheetView workbookViewId="0">
      <selection activeCell="B1" sqref="B1:I26"/>
    </sheetView>
  </sheetViews>
  <sheetFormatPr baseColWidth="10" defaultColWidth="8.88671875" defaultRowHeight="14.4" x14ac:dyDescent="0.3"/>
  <cols>
    <col min="1" max="1" width="3" customWidth="1"/>
    <col min="2" max="2" width="30" customWidth="1"/>
    <col min="3" max="4" width="16" customWidth="1"/>
    <col min="5" max="5" width="15" customWidth="1"/>
    <col min="6" max="6" width="13" customWidth="1"/>
    <col min="7" max="7" width="12" customWidth="1"/>
    <col min="8" max="8" width="14" customWidth="1"/>
    <col min="9" max="9" width="13" customWidth="1"/>
    <col min="10" max="10" width="3" customWidth="1"/>
  </cols>
  <sheetData>
    <row r="1" spans="2:9" ht="12" customHeight="1" x14ac:dyDescent="0.3">
      <c r="B1" s="155" t="s">
        <v>98</v>
      </c>
      <c r="C1" s="138"/>
      <c r="D1" s="138"/>
      <c r="E1" s="138"/>
      <c r="F1" s="138"/>
      <c r="G1" s="138"/>
      <c r="H1" s="138"/>
      <c r="I1" s="138"/>
    </row>
    <row r="2" spans="2:9" ht="21.75" customHeight="1" x14ac:dyDescent="0.3">
      <c r="B2" s="138"/>
      <c r="C2" s="138"/>
      <c r="D2" s="138"/>
      <c r="E2" s="138"/>
      <c r="F2" s="138"/>
      <c r="G2" s="138"/>
      <c r="H2" s="138"/>
      <c r="I2" s="138"/>
    </row>
    <row r="3" spans="2:9" ht="12" customHeight="1" x14ac:dyDescent="0.3">
      <c r="B3" s="138"/>
      <c r="C3" s="138"/>
      <c r="D3" s="138"/>
      <c r="E3" s="138"/>
      <c r="F3" s="138"/>
      <c r="G3" s="138"/>
      <c r="H3" s="138"/>
      <c r="I3" s="138"/>
    </row>
    <row r="4" spans="2:9" ht="18" customHeight="1" x14ac:dyDescent="0.3">
      <c r="B4" s="153" t="s">
        <v>99</v>
      </c>
      <c r="C4" s="138"/>
      <c r="D4" s="138"/>
      <c r="E4" s="138"/>
      <c r="F4" s="138"/>
      <c r="G4" s="138"/>
      <c r="H4" s="138"/>
      <c r="I4" s="138"/>
    </row>
    <row r="5" spans="2:9" ht="7.5" customHeight="1" x14ac:dyDescent="0.3"/>
    <row r="6" spans="2:9" ht="18" customHeight="1" x14ac:dyDescent="0.3">
      <c r="B6" s="160" t="s">
        <v>100</v>
      </c>
      <c r="C6" s="138"/>
      <c r="D6" s="156" t="s">
        <v>66</v>
      </c>
      <c r="E6" s="138"/>
      <c r="F6" s="167" t="s">
        <v>101</v>
      </c>
      <c r="G6" s="138"/>
      <c r="H6" s="170" t="s">
        <v>102</v>
      </c>
      <c r="I6" s="138"/>
    </row>
    <row r="7" spans="2:9" ht="18" customHeight="1" x14ac:dyDescent="0.3">
      <c r="B7" s="166" t="str">
        <f>TEXT((Datos!D4+Datos!D5+Datos!D6+Datos!D7+Datos!D8+Datos!D9+Datos!D10+Datos!D11)/1000000,"$#,##0.00")&amp;"M"</f>
        <v>$23.51M</v>
      </c>
      <c r="C7" s="138"/>
      <c r="D7" s="158" t="str">
        <f>TEXT((Datos!C4+Datos!C5+Datos!C6+Datos!C7+Datos!C8+Datos!C9+Datos!C10+Datos!C11)/1000000,"$#,##0.00")&amp;"M"</f>
        <v>$30.99M</v>
      </c>
      <c r="E7" s="138"/>
      <c r="F7" s="168" t="str">
        <f>TEXT((Datos!D4+Datos!D5+Datos!D6+Datos!D7+Datos!D8+Datos!D9+Datos!D10+Datos!D11)/(Datos!C4+Datos!C5+Datos!C6+Datos!C7+Datos!C8+Datos!C9+Datos!C10+Datos!C11),"0.0%")</f>
        <v>75.8%</v>
      </c>
      <c r="G7" s="138"/>
      <c r="H7" s="161" t="str">
        <f>TEXT((Datos!G4+Datos!G5+Datos!G6+Datos!G7+Datos!G8+Datos!G9+Datos!G10+Datos!G11)/(Datos!F4+Datos!F5+Datos!F6+Datos!F7+Datos!F8+Datos!F9+Datos!F10+Datos!F11),"0.0%")</f>
        <v>69.6%</v>
      </c>
      <c r="I7" s="138"/>
    </row>
    <row r="8" spans="2:9" ht="18" customHeight="1" x14ac:dyDescent="0.3">
      <c r="B8" s="138"/>
      <c r="C8" s="138"/>
      <c r="D8" s="138"/>
      <c r="E8" s="138"/>
      <c r="F8" s="138"/>
      <c r="G8" s="138"/>
      <c r="H8" s="138"/>
      <c r="I8" s="138"/>
    </row>
    <row r="9" spans="2:9" ht="18" customHeight="1" x14ac:dyDescent="0.3">
      <c r="B9" s="138"/>
      <c r="C9" s="138"/>
      <c r="D9" s="138"/>
      <c r="E9" s="138"/>
      <c r="F9" s="138"/>
      <c r="G9" s="138"/>
      <c r="H9" s="138"/>
      <c r="I9" s="138"/>
    </row>
    <row r="10" spans="2:9" ht="7.5" customHeight="1" x14ac:dyDescent="0.3"/>
    <row r="11" spans="2:9" ht="18" customHeight="1" x14ac:dyDescent="0.3">
      <c r="B11" s="171" t="s">
        <v>103</v>
      </c>
      <c r="C11" s="138"/>
      <c r="D11" s="167" t="s">
        <v>104</v>
      </c>
      <c r="E11" s="138"/>
      <c r="F11" s="164" t="s">
        <v>105</v>
      </c>
      <c r="G11" s="138"/>
      <c r="H11" s="156" t="s">
        <v>106</v>
      </c>
      <c r="I11" s="138"/>
    </row>
    <row r="12" spans="2:9" ht="18" customHeight="1" x14ac:dyDescent="0.3">
      <c r="B12" s="169" t="str">
        <f>TEXT(Datos!G4+Datos!G5+Datos!G6+Datos!G7+Datos!G8+Datos!G9+Datos!G10+Datos!G11,"0")&amp;" / "&amp;TEXT(Datos!F4+Datos!F5+Datos!F6+Datos!F7+Datos!F8+Datos!F9+Datos!F10+Datos!F11,"0")</f>
        <v>181 / 260</v>
      </c>
      <c r="C12" s="138"/>
      <c r="D12" s="162" t="str">
        <f>TEXT(COUNTIF(Datos!H4:H11,"&gt;="&amp;1),"0")&amp;" / "&amp;"8"</f>
        <v>1 / 8</v>
      </c>
      <c r="E12" s="138"/>
      <c r="F12" s="172" t="str">
        <f>IF(ISNUMBER(VALUE(LEFT(INDEX(Datos!B4:B11,MATCH(MAX(Datos!D4:D11),Datos!D4:D11,0)),4))),MID(INDEX(Datos!B4:B11,MATCH(MAX(Datos!D4:D11),Datos!D4:D11,0)),6,100),INDEX(Datos!B4:B11,MATCH(MAX(Datos!D4:D11),Datos!D4:D11,0)))</f>
        <v>JAIRO RUIZ</v>
      </c>
      <c r="G12" s="138"/>
      <c r="H12" s="163" t="str">
        <f>TEXT(ABS(Datos!F4+Datos!F5+Datos!F6+Datos!F7+Datos!F8+Datos!F9+Datos!F10+Datos!F11-Datos!G4+Datos!G5+Datos!G6+Datos!G7+Datos!G8+Datos!G9+Datos!G10+Datos!G11),"0")&amp;IF(Datos!G4+Datos!G5+Datos!G6+Datos!G7+Datos!G8+Datos!G9+Datos!G10+Datos!G11&gt;=Datos!F4+Datos!F5+Datos!F6+Datos!F7+Datos!F8+Datos!F9+Datos!F10+Datos!F11," excedente"," pedidos")</f>
        <v>401 pedidos</v>
      </c>
      <c r="I12" s="138"/>
    </row>
    <row r="13" spans="2:9" ht="18" customHeight="1" x14ac:dyDescent="0.3">
      <c r="B13" s="138"/>
      <c r="C13" s="138"/>
      <c r="D13" s="138"/>
      <c r="E13" s="138"/>
      <c r="F13" s="138"/>
      <c r="G13" s="138"/>
      <c r="H13" s="138"/>
      <c r="I13" s="138"/>
    </row>
    <row r="14" spans="2:9" ht="18" customHeight="1" x14ac:dyDescent="0.3">
      <c r="B14" s="138"/>
      <c r="C14" s="138"/>
      <c r="D14" s="138"/>
      <c r="E14" s="138"/>
      <c r="F14" s="138"/>
      <c r="G14" s="138"/>
      <c r="H14" s="138"/>
      <c r="I14" s="138"/>
    </row>
    <row r="15" spans="2:9" ht="7.5" customHeight="1" x14ac:dyDescent="0.3"/>
    <row r="16" spans="2:9" ht="19.5" customHeight="1" x14ac:dyDescent="0.3">
      <c r="B16" s="165" t="s">
        <v>107</v>
      </c>
      <c r="C16" s="138"/>
      <c r="D16" s="138"/>
      <c r="E16" s="138"/>
      <c r="F16" s="138"/>
      <c r="G16" s="138"/>
      <c r="H16" s="138"/>
      <c r="I16" s="138"/>
    </row>
    <row r="17" spans="2:9" ht="19.5" customHeight="1" x14ac:dyDescent="0.3">
      <c r="B17" s="96" t="s">
        <v>1</v>
      </c>
      <c r="C17" s="96" t="s">
        <v>86</v>
      </c>
      <c r="D17" s="96" t="s">
        <v>87</v>
      </c>
      <c r="E17" s="96" t="s">
        <v>77</v>
      </c>
      <c r="F17" s="96" t="s">
        <v>88</v>
      </c>
      <c r="G17" s="96" t="s">
        <v>79</v>
      </c>
      <c r="H17" s="96" t="s">
        <v>89</v>
      </c>
      <c r="I17" s="96" t="s">
        <v>108</v>
      </c>
    </row>
    <row r="18" spans="2:9" ht="15.75" customHeight="1" x14ac:dyDescent="0.3">
      <c r="B18" s="74" t="str">
        <f>IF(ISNUMBER(VALUE(LEFT(Datos!B4,4))),MID(Datos!B4,6,100),Datos!B4)</f>
        <v>JHON JAIME SANCHEZ</v>
      </c>
      <c r="C18" s="75">
        <f>Datos!C4</f>
        <v>3912073.1343425158</v>
      </c>
      <c r="D18" s="76">
        <f>Datos!D4</f>
        <v>1416113.58</v>
      </c>
      <c r="E18" s="77">
        <f>Datos!E4</f>
        <v>0.36198545665430149</v>
      </c>
      <c r="F18" s="78">
        <f>Datos!G4</f>
        <v>20</v>
      </c>
      <c r="G18" s="78">
        <f>Datos!F4</f>
        <v>35</v>
      </c>
      <c r="H18" s="78">
        <f>Datos!I4</f>
        <v>15</v>
      </c>
      <c r="I18" s="97" t="str">
        <f>IF(Datos!E4&gt;=0.9,"🟢 EXCELENTE",IF(Datos!E4&gt;=0.7,"🟡 EN CAMINO",IF(Datos!E4&gt;=0.5,"🟠 ALERTA","🔴 CRÍTICO")))</f>
        <v>🔴 CRÍTICO</v>
      </c>
    </row>
    <row r="19" spans="2:9" ht="15.75" customHeight="1" x14ac:dyDescent="0.3">
      <c r="B19" s="79" t="str">
        <f>IF(ISNUMBER(VALUE(LEFT(Datos!B5,4))),MID(Datos!B5,6,100),Datos!B5)</f>
        <v>KEVIN ALEXANDER ORTIZ BADOS</v>
      </c>
      <c r="C19" s="80">
        <f>Datos!C5</f>
        <v>3557632.3618512237</v>
      </c>
      <c r="D19" s="81">
        <f>Datos!D5</f>
        <v>2114215.6199999996</v>
      </c>
      <c r="E19" s="82">
        <f>Datos!E5</f>
        <v>0.59427602544627789</v>
      </c>
      <c r="F19" s="83">
        <f>Datos!G5</f>
        <v>28</v>
      </c>
      <c r="G19" s="83">
        <f>Datos!F5</f>
        <v>35</v>
      </c>
      <c r="H19" s="83">
        <f>Datos!I5</f>
        <v>7</v>
      </c>
      <c r="I19" s="98" t="str">
        <f>IF(Datos!E5&gt;=0.9,"🟢 EXCELENTE",IF(Datos!E5&gt;=0.7,"🟡 EN CAMINO",IF(Datos!E5&gt;=0.5,"🟠 ALERTA","🔴 CRÍTICO")))</f>
        <v>🟠 ALERTA</v>
      </c>
    </row>
    <row r="20" spans="2:9" ht="15.75" customHeight="1" x14ac:dyDescent="0.3">
      <c r="B20" s="74" t="str">
        <f>IF(ISNUMBER(VALUE(LEFT(Datos!B6,4))),MID(Datos!B6,6,100),Datos!B6)</f>
        <v>SANTIAGO OTERO</v>
      </c>
      <c r="C20" s="75">
        <f>Datos!C6</f>
        <v>4352260.4017633554</v>
      </c>
      <c r="D20" s="76">
        <f>Datos!D6</f>
        <v>4412714.58</v>
      </c>
      <c r="E20" s="77">
        <f>Datos!E6</f>
        <v>1.0138902943886701</v>
      </c>
      <c r="F20" s="78">
        <f>Datos!G6</f>
        <v>25</v>
      </c>
      <c r="G20" s="78">
        <f>Datos!F6</f>
        <v>25</v>
      </c>
      <c r="H20" s="78">
        <f>Datos!I6</f>
        <v>0</v>
      </c>
      <c r="I20" s="97" t="str">
        <f>IF(Datos!E6&gt;=0.9,"🟢 EXCELENTE",IF(Datos!E6&gt;=0.7,"🟡 EN CAMINO",IF(Datos!E6&gt;=0.5,"🟠 ALERTA","🔴 CRÍTICO")))</f>
        <v>🟢 EXCELENTE</v>
      </c>
    </row>
    <row r="21" spans="2:9" ht="15.75" customHeight="1" x14ac:dyDescent="0.3">
      <c r="B21" s="79" t="str">
        <f>IF(ISNUMBER(VALUE(LEFT(Datos!B7,4))),MID(Datos!B7,6,100),Datos!B7)</f>
        <v>JUAN MANUEL SILVA</v>
      </c>
      <c r="C21" s="80">
        <f>Datos!C7</f>
        <v>2949191.3751801224</v>
      </c>
      <c r="D21" s="81">
        <f>Datos!D7</f>
        <v>2842427.23</v>
      </c>
      <c r="E21" s="82">
        <f>Datos!E7</f>
        <v>0.96379884124216864</v>
      </c>
      <c r="F21" s="83">
        <f>Datos!G7</f>
        <v>31</v>
      </c>
      <c r="G21" s="83">
        <f>Datos!F7</f>
        <v>35</v>
      </c>
      <c r="H21" s="83">
        <f>Datos!I7</f>
        <v>4</v>
      </c>
      <c r="I21" s="98" t="str">
        <f>IF(Datos!E7&gt;=0.9,"🟢 EXCELENTE",IF(Datos!E7&gt;=0.7,"🟡 EN CAMINO",IF(Datos!E7&gt;=0.5,"🟠 ALERTA","🔴 CRÍTICO")))</f>
        <v>🟢 EXCELENTE</v>
      </c>
    </row>
    <row r="22" spans="2:9" ht="15.75" customHeight="1" x14ac:dyDescent="0.3">
      <c r="B22" s="74" t="str">
        <f>IF(ISNUMBER(VALUE(LEFT(Datos!B8,4))),MID(Datos!B8,6,100),Datos!B8)</f>
        <v>BETANIA PEÑA</v>
      </c>
      <c r="C22" s="75">
        <f>Datos!C8</f>
        <v>3599832.4226795579</v>
      </c>
      <c r="D22" s="76">
        <f>Datos!D8</f>
        <v>2474427.89</v>
      </c>
      <c r="E22" s="77">
        <f>Datos!E8</f>
        <v>0.68737307726067542</v>
      </c>
      <c r="F22" s="78">
        <f>Datos!G8</f>
        <v>23</v>
      </c>
      <c r="G22" s="78">
        <f>Datos!F8</f>
        <v>35</v>
      </c>
      <c r="H22" s="78">
        <f>Datos!I8</f>
        <v>12</v>
      </c>
      <c r="I22" s="97" t="str">
        <f>IF(Datos!E8&gt;=0.9,"🟢 EXCELENTE",IF(Datos!E8&gt;=0.7,"🟡 EN CAMINO",IF(Datos!E8&gt;=0.5,"🟠 ALERTA","🔴 CRÍTICO")))</f>
        <v>🟠 ALERTA</v>
      </c>
    </row>
    <row r="23" spans="2:9" ht="15.75" customHeight="1" x14ac:dyDescent="0.3">
      <c r="B23" s="79" t="str">
        <f>IF(ISNUMBER(VALUE(LEFT(Datos!B9,4))),MID(Datos!B9,6,100),Datos!B9)</f>
        <v>JAIRO RUIZ</v>
      </c>
      <c r="C23" s="80">
        <f>Datos!C9</f>
        <v>4051883.2924698438</v>
      </c>
      <c r="D23" s="81">
        <f>Datos!D9</f>
        <v>6767658.1399999997</v>
      </c>
      <c r="E23" s="82">
        <f>Datos!E9</f>
        <v>1.6702500174615698</v>
      </c>
      <c r="F23" s="83">
        <f>Datos!G9</f>
        <v>11</v>
      </c>
      <c r="G23" s="83">
        <f>Datos!F9</f>
        <v>25</v>
      </c>
      <c r="H23" s="83">
        <f>Datos!I9</f>
        <v>14</v>
      </c>
      <c r="I23" s="98" t="str">
        <f>IF(Datos!E9&gt;=0.9,"🟢 EXCELENTE",IF(Datos!E9&gt;=0.7,"🟡 EN CAMINO",IF(Datos!E9&gt;=0.5,"🟠 ALERTA","🔴 CRÍTICO")))</f>
        <v>🟢 EXCELENTE</v>
      </c>
    </row>
    <row r="24" spans="2:9" ht="15.75" customHeight="1" x14ac:dyDescent="0.3">
      <c r="B24" s="74" t="str">
        <f>IF(ISNUMBER(VALUE(LEFT(Datos!B10,4))),MID(Datos!B10,6,100),Datos!B10)</f>
        <v>JOSE LUIS ARTEAGA</v>
      </c>
      <c r="C24" s="75">
        <f>Datos!C10</f>
        <v>4501003.6550359493</v>
      </c>
      <c r="D24" s="76">
        <f>Datos!D10</f>
        <v>1629101.3800000001</v>
      </c>
      <c r="E24" s="77">
        <f>Datos!E10</f>
        <v>0.36194180339695559</v>
      </c>
      <c r="F24" s="78">
        <f>Datos!G10</f>
        <v>22</v>
      </c>
      <c r="G24" s="78">
        <f>Datos!F10</f>
        <v>35</v>
      </c>
      <c r="H24" s="78">
        <f>Datos!I10</f>
        <v>13</v>
      </c>
      <c r="I24" s="97" t="str">
        <f>IF(Datos!E10&gt;=0.9,"🟢 EXCELENTE",IF(Datos!E10&gt;=0.7,"🟡 EN CAMINO",IF(Datos!E10&gt;=0.5,"🟠 ALERTA","🔴 CRÍTICO")))</f>
        <v>🔴 CRÍTICO</v>
      </c>
    </row>
    <row r="25" spans="2:9" ht="15.75" customHeight="1" x14ac:dyDescent="0.3">
      <c r="B25" s="79" t="str">
        <f>IF(ISNUMBER(VALUE(LEFT(Datos!B11,4))),MID(Datos!B11,6,100),Datos!B11)</f>
        <v>AREVALO DUARTE CARLOS ALBERTO</v>
      </c>
      <c r="C25" s="80">
        <f>Datos!C11</f>
        <v>4068123.3459541583</v>
      </c>
      <c r="D25" s="81">
        <f>Datos!D11</f>
        <v>1849538.73</v>
      </c>
      <c r="E25" s="82">
        <f>Datos!E11</f>
        <v>0.45464175314138605</v>
      </c>
      <c r="F25" s="83">
        <f>Datos!G11</f>
        <v>21</v>
      </c>
      <c r="G25" s="83">
        <f>Datos!F11</f>
        <v>35</v>
      </c>
      <c r="H25" s="83">
        <f>Datos!I11</f>
        <v>14</v>
      </c>
      <c r="I25" s="98" t="str">
        <f>IF(Datos!E11&gt;=0.9,"🟢 EXCELENTE",IF(Datos!E11&gt;=0.7,"🟡 EN CAMINO",IF(Datos!E11&gt;=0.5,"🟠 ALERTA","🔴 CRÍTICO")))</f>
        <v>🔴 CRÍTICO</v>
      </c>
    </row>
    <row r="26" spans="2:9" ht="18" customHeight="1" x14ac:dyDescent="0.3">
      <c r="B26" s="84" t="s">
        <v>90</v>
      </c>
      <c r="C26" s="99">
        <f>Datos!C4+Datos!C5+Datos!C6+Datos!C7+Datos!C8+Datos!C9+Datos!C10+Datos!C11</f>
        <v>30991999.989276726</v>
      </c>
      <c r="D26" s="86">
        <f>Datos!D4+Datos!D5+Datos!D6+Datos!D7+Datos!D8+Datos!D9+Datos!D10+Datos!D11</f>
        <v>23506197.149999999</v>
      </c>
      <c r="E26" s="87">
        <f>D26/C26</f>
        <v>0.75846015610909834</v>
      </c>
      <c r="F26" s="99">
        <f>Datos!G4+Datos!G5+Datos!G6+Datos!G7+Datos!G8+Datos!G9+Datos!G10+Datos!G11</f>
        <v>181</v>
      </c>
      <c r="G26" s="99">
        <f>Datos!F4+Datos!F5+Datos!F6+Datos!F7+Datos!F8+Datos!F9+Datos!F10+Datos!F11</f>
        <v>260</v>
      </c>
      <c r="H26" s="88">
        <f>SUM(H18:H25)</f>
        <v>79</v>
      </c>
      <c r="I26" s="87">
        <f>F26/G26</f>
        <v>0.69615384615384612</v>
      </c>
    </row>
    <row r="27" spans="2:9" ht="7.5" customHeight="1" x14ac:dyDescent="0.3"/>
    <row r="28" spans="2:9" ht="18" customHeight="1" x14ac:dyDescent="0.3">
      <c r="B28" s="159" t="s">
        <v>109</v>
      </c>
      <c r="C28" s="138"/>
      <c r="D28" s="138"/>
      <c r="E28" s="138"/>
      <c r="F28" s="138"/>
      <c r="G28" s="138"/>
      <c r="H28" s="138"/>
      <c r="I28" s="138"/>
    </row>
    <row r="29" spans="2:9" ht="15.75" customHeight="1" x14ac:dyDescent="0.3">
      <c r="B29" s="157" t="str">
        <f>"▶ Venta del día en progreso: "&amp;TEXT((Datos!D4+Datos!D5+Datos!D6+Datos!D7+Datos!D8+Datos!D9+Datos!D10+Datos!D11)/(Datos!C4+Datos!C5+Datos!C6+Datos!C7+Datos!C8+Datos!C9+Datos!C10+Datos!C11),"0.0%")&amp;" del presupuesto."</f>
        <v>▶ Venta del día en progreso: 75.8% del presupuesto.</v>
      </c>
      <c r="C29" s="138"/>
      <c r="D29" s="138"/>
      <c r="E29" s="138"/>
      <c r="F29" s="138"/>
      <c r="G29" s="138"/>
      <c r="H29" s="138"/>
      <c r="I29" s="138"/>
    </row>
    <row r="30" spans="2:9" ht="15.75" customHeight="1" x14ac:dyDescent="0.3">
      <c r="B30" s="154" t="str">
        <f>IF(COUNTIF(Datos!H4:H11,"&gt;="&amp;1)=8,"✔ "&amp;8&amp;" de 8 asesores cumplen meta. Excedente de "&amp;ABS((Datos!G4+Datos!G5+Datos!G6+Datos!G7+Datos!G8+Datos!G9+Datos!G10+Datos!G11)-(Datos!F4+Datos!F5+Datos!F6+Datos!F7+Datos!F8+Datos!F9+Datos!F10+Datos!F11))&amp;" pedidos sobre el objetivo.","▶ "&amp;COUNTIF(Datos!H4:H11,"&gt;="&amp;1)&amp;" de 8 asesores cumplen meta. Pendiente cerrar "&amp;MAX(0,(Datos!F4+Datos!F5+Datos!F6+Datos!F7+Datos!F8+Datos!F9+Datos!F10+Datos!F11)-(Datos!G4+Datos!G5+Datos!G6+Datos!G7+Datos!G8+Datos!G9+Datos!G10+Datos!G11))&amp;" pedidos.")</f>
        <v>▶ 1 de 8 asesores cumplen meta. Pendiente cerrar 79 pedidos.</v>
      </c>
      <c r="C30" s="138"/>
      <c r="D30" s="138"/>
      <c r="E30" s="138"/>
      <c r="F30" s="138"/>
      <c r="G30" s="138"/>
      <c r="H30" s="138"/>
      <c r="I30" s="138"/>
    </row>
    <row r="31" spans="2:9" ht="15.75" customHeight="1" x14ac:dyDescent="0.3">
      <c r="B31" s="157" t="str">
        <f>"★ Mejor asesor: "&amp;IF(ISNUMBER(VALUE(LEFT(INDEX(Datos!B4:B11,MATCH(MAX(Datos!D4:D11),Datos!D4:D11,0)),4))),MID(INDEX(Datos!B4:B11,MATCH(MAX(Datos!D4:D11),Datos!D4:D11,0)),6,100),INDEX(Datos!B4:B11,MATCH(MAX(Datos!D4:D11),Datos!D4:D11,0)))&amp;" con "&amp;TEXT(MAX(Datos!D4:D11),"$#,##0")&amp;" y "&amp;INDEX(Datos!G4:G11,MATCH(MAX(Datos!D4:D11),Datos!D4:D11,0))&amp;" facturas."</f>
        <v>★ Mejor asesor: JAIRO RUIZ con $6,767,658 y 11 facturas.</v>
      </c>
      <c r="C31" s="138"/>
      <c r="D31" s="138"/>
      <c r="E31" s="138"/>
      <c r="F31" s="138"/>
      <c r="G31" s="138"/>
      <c r="H31" s="138"/>
      <c r="I31" s="138"/>
    </row>
    <row r="32" spans="2:9" ht="15.75" customHeight="1" x14ac:dyDescent="0.3">
      <c r="B32" s="154" t="str">
        <f>"⚠ Asesor con menor venta: "&amp;IF(ISNUMBER(VALUE(LEFT(INDEX(Datos!B4:B11,MATCH(MIN(Datos!D4:D11),Datos!D4:D11,0)),4))),MID(INDEX(Datos!B4:B11,MATCH(MIN(Datos!D4:D11),Datos!D4:D11,0)),6,100),INDEX(Datos!B4:B11,MATCH(MIN(Datos!D4:D11),Datos!D4:D11,0)))&amp;" con "&amp;TEXT(MIN(Datos!D4:D11),"$#,##0")&amp;" ("&amp;TEXT(MIN(Datos!E4:E11),"0.0%")&amp;" del ppto)."</f>
        <v>⚠ Asesor con menor venta: JHON JAIME SANCHEZ con $1,416,114 (36.2% del ppto).</v>
      </c>
      <c r="C32" s="138"/>
      <c r="D32" s="138"/>
      <c r="E32" s="138"/>
      <c r="F32" s="138"/>
      <c r="G32" s="138"/>
      <c r="H32" s="138"/>
      <c r="I32" s="138"/>
    </row>
  </sheetData>
  <mergeCells count="24">
    <mergeCell ref="B30:I30"/>
    <mergeCell ref="D6:E6"/>
    <mergeCell ref="F7:G9"/>
    <mergeCell ref="B12:C14"/>
    <mergeCell ref="H6:I6"/>
    <mergeCell ref="B11:C11"/>
    <mergeCell ref="D11:E11"/>
    <mergeCell ref="F12:G14"/>
    <mergeCell ref="B32:I32"/>
    <mergeCell ref="B4:I4"/>
    <mergeCell ref="B1:I3"/>
    <mergeCell ref="H11:I11"/>
    <mergeCell ref="B29:I29"/>
    <mergeCell ref="D7:E9"/>
    <mergeCell ref="B28:I28"/>
    <mergeCell ref="B6:C6"/>
    <mergeCell ref="H7:I9"/>
    <mergeCell ref="D12:E14"/>
    <mergeCell ref="H12:I14"/>
    <mergeCell ref="F11:G11"/>
    <mergeCell ref="B16:I16"/>
    <mergeCell ref="B7:C9"/>
    <mergeCell ref="F6:G6"/>
    <mergeCell ref="B31:I3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I32"/>
  <sheetViews>
    <sheetView workbookViewId="0">
      <selection activeCell="B1" sqref="B1:I27"/>
    </sheetView>
  </sheetViews>
  <sheetFormatPr baseColWidth="10" defaultColWidth="8.88671875" defaultRowHeight="14.4" x14ac:dyDescent="0.3"/>
  <cols>
    <col min="1" max="1" width="3" customWidth="1"/>
    <col min="2" max="2" width="30" customWidth="1"/>
    <col min="3" max="4" width="16" customWidth="1"/>
    <col min="5" max="5" width="15" customWidth="1"/>
    <col min="6" max="6" width="13" customWidth="1"/>
    <col min="7" max="7" width="12" customWidth="1"/>
    <col min="8" max="8" width="14" customWidth="1"/>
    <col min="9" max="9" width="13" customWidth="1"/>
    <col min="10" max="10" width="3" customWidth="1"/>
  </cols>
  <sheetData>
    <row r="1" spans="2:9" ht="12" customHeight="1" x14ac:dyDescent="0.3">
      <c r="B1" s="155" t="s">
        <v>110</v>
      </c>
      <c r="C1" s="138"/>
      <c r="D1" s="138"/>
      <c r="E1" s="138"/>
      <c r="F1" s="138"/>
      <c r="G1" s="138"/>
      <c r="H1" s="138"/>
      <c r="I1" s="138"/>
    </row>
    <row r="2" spans="2:9" ht="21.75" customHeight="1" x14ac:dyDescent="0.3">
      <c r="B2" s="138"/>
      <c r="C2" s="138"/>
      <c r="D2" s="138"/>
      <c r="E2" s="138"/>
      <c r="F2" s="138"/>
      <c r="G2" s="138"/>
      <c r="H2" s="138"/>
      <c r="I2" s="138"/>
    </row>
    <row r="3" spans="2:9" ht="12" customHeight="1" x14ac:dyDescent="0.3">
      <c r="B3" s="138"/>
      <c r="C3" s="138"/>
      <c r="D3" s="138"/>
      <c r="E3" s="138"/>
      <c r="F3" s="138"/>
      <c r="G3" s="138"/>
      <c r="H3" s="138"/>
      <c r="I3" s="138"/>
    </row>
    <row r="4" spans="2:9" ht="18" customHeight="1" x14ac:dyDescent="0.3">
      <c r="B4" s="153" t="s">
        <v>99</v>
      </c>
      <c r="C4" s="138"/>
      <c r="D4" s="138"/>
      <c r="E4" s="138"/>
      <c r="F4" s="138"/>
      <c r="G4" s="138"/>
      <c r="H4" s="138"/>
      <c r="I4" s="138"/>
    </row>
    <row r="5" spans="2:9" ht="7.5" customHeight="1" x14ac:dyDescent="0.3"/>
    <row r="6" spans="2:9" ht="18" customHeight="1" x14ac:dyDescent="0.3">
      <c r="B6" s="170" t="s">
        <v>100</v>
      </c>
      <c r="C6" s="138"/>
      <c r="D6" s="156" t="s">
        <v>66</v>
      </c>
      <c r="E6" s="138"/>
      <c r="F6" s="167" t="s">
        <v>101</v>
      </c>
      <c r="G6" s="138"/>
      <c r="H6" s="170" t="s">
        <v>102</v>
      </c>
      <c r="I6" s="138"/>
    </row>
    <row r="7" spans="2:9" ht="18" customHeight="1" x14ac:dyDescent="0.3">
      <c r="B7" s="161" t="str">
        <f>TEXT((Datos!D20+Datos!D21+Datos!D22+Datos!D23+Datos!D24+Datos!D25+Datos!D26+Datos!D27)/1000000,"$#,##0.00")&amp;"M"</f>
        <v>$18.53M</v>
      </c>
      <c r="C7" s="138"/>
      <c r="D7" s="158" t="str">
        <f>TEXT((Datos!C20+Datos!C21+Datos!C22+Datos!C23+Datos!C24+Datos!C25+Datos!C26+Datos!C27)/1000000,"$#,##0.00")&amp;"M"</f>
        <v>$26.25M</v>
      </c>
      <c r="E7" s="138"/>
      <c r="F7" s="168" t="str">
        <f>TEXT((Datos!D20+Datos!D21+Datos!D22+Datos!D23+Datos!D24+Datos!D25+Datos!D26+Datos!D27)/(Datos!C20+Datos!C21+Datos!C22+Datos!C23+Datos!C24+Datos!C25+Datos!C26+Datos!C27),"0.0%")</f>
        <v>70.6%</v>
      </c>
      <c r="G7" s="138"/>
      <c r="H7" s="161" t="str">
        <f>TEXT((Datos!G20+Datos!G21+Datos!G22+Datos!G23+Datos!G24+Datos!G25+Datos!G26+Datos!G27)/(Datos!F20+Datos!F21+Datos!F22+Datos!F23+Datos!F24+Datos!F25+Datos!F26+Datos!F27),"0.0%")</f>
        <v>66.9%</v>
      </c>
      <c r="I7" s="138"/>
    </row>
    <row r="8" spans="2:9" ht="18" customHeight="1" x14ac:dyDescent="0.3">
      <c r="B8" s="138"/>
      <c r="C8" s="138"/>
      <c r="D8" s="138"/>
      <c r="E8" s="138"/>
      <c r="F8" s="138"/>
      <c r="G8" s="138"/>
      <c r="H8" s="138"/>
      <c r="I8" s="138"/>
    </row>
    <row r="9" spans="2:9" ht="18" customHeight="1" x14ac:dyDescent="0.3">
      <c r="B9" s="138"/>
      <c r="C9" s="138"/>
      <c r="D9" s="138"/>
      <c r="E9" s="138"/>
      <c r="F9" s="138"/>
      <c r="G9" s="138"/>
      <c r="H9" s="138"/>
      <c r="I9" s="138"/>
    </row>
    <row r="10" spans="2:9" ht="7.5" customHeight="1" x14ac:dyDescent="0.3"/>
    <row r="11" spans="2:9" ht="18" customHeight="1" x14ac:dyDescent="0.3">
      <c r="B11" s="171" t="s">
        <v>103</v>
      </c>
      <c r="C11" s="138"/>
      <c r="D11" s="167" t="s">
        <v>104</v>
      </c>
      <c r="E11" s="138"/>
      <c r="F11" s="173" t="s">
        <v>105</v>
      </c>
      <c r="G11" s="138"/>
      <c r="H11" s="156" t="s">
        <v>106</v>
      </c>
      <c r="I11" s="138"/>
    </row>
    <row r="12" spans="2:9" ht="18" customHeight="1" x14ac:dyDescent="0.3">
      <c r="B12" s="169" t="str">
        <f>TEXT(Datos!G20+Datos!G21+Datos!G22+Datos!G23+Datos!G24+Datos!G25+Datos!G26+Datos!G27,"0")&amp;" / "&amp;TEXT(Datos!F20+Datos!F21+Datos!F22+Datos!F23+Datos!F24+Datos!F25+Datos!F26+Datos!F27,"0")</f>
        <v>174 / 260</v>
      </c>
      <c r="C12" s="138"/>
      <c r="D12" s="162" t="str">
        <f>TEXT(COUNTIF(Datos!H20:H27,"&gt;="&amp;1),"0")&amp;" / "&amp;"8"</f>
        <v>0 / 8</v>
      </c>
      <c r="E12" s="138"/>
      <c r="F12" s="175" t="str">
        <f>IF(ISNUMBER(VALUE(LEFT(INDEX(Datos!B20:B27,MATCH(MAX(Datos!D20:D27),Datos!D20:D27,0)),4))),MID(INDEX(Datos!B20:B27,MATCH(MAX(Datos!D20:D27),Datos!D20:D27,0)),6,100),INDEX(Datos!B20:B27,MATCH(MAX(Datos!D20:D27),Datos!D20:D27,0)))</f>
        <v>MAURICIO VIVAS RUIZ</v>
      </c>
      <c r="G12" s="138"/>
      <c r="H12" s="163" t="str">
        <f>TEXT(ABS(Datos!F20+Datos!F21+Datos!F22+Datos!F23+Datos!F24+Datos!F25+Datos!F26+Datos!F27-Datos!G20+Datos!G21+Datos!G22+Datos!G23+Datos!G24+Datos!G25+Datos!G26+Datos!G27),"0")&amp;IF(Datos!G20+Datos!G21+Datos!G22+Datos!G23+Datos!G24+Datos!G25+Datos!G26+Datos!G27&gt;=Datos!F20+Datos!F21+Datos!F22+Datos!F23+Datos!F24+Datos!F25+Datos!F26+Datos!F27," excedente"," pedidos")</f>
        <v>374 pedidos</v>
      </c>
      <c r="I12" s="138"/>
    </row>
    <row r="13" spans="2:9" ht="18" customHeight="1" x14ac:dyDescent="0.3">
      <c r="B13" s="138"/>
      <c r="C13" s="138"/>
      <c r="D13" s="138"/>
      <c r="E13" s="138"/>
      <c r="F13" s="138"/>
      <c r="G13" s="138"/>
      <c r="H13" s="138"/>
      <c r="I13" s="138"/>
    </row>
    <row r="14" spans="2:9" ht="18" customHeight="1" x14ac:dyDescent="0.3">
      <c r="B14" s="138"/>
      <c r="C14" s="138"/>
      <c r="D14" s="138"/>
      <c r="E14" s="138"/>
      <c r="F14" s="138"/>
      <c r="G14" s="138"/>
      <c r="H14" s="138"/>
      <c r="I14" s="138"/>
    </row>
    <row r="15" spans="2:9" ht="7.5" customHeight="1" x14ac:dyDescent="0.3"/>
    <row r="16" spans="2:9" ht="19.5" customHeight="1" x14ac:dyDescent="0.3">
      <c r="B16" s="174" t="s">
        <v>111</v>
      </c>
      <c r="C16" s="138"/>
      <c r="D16" s="138"/>
      <c r="E16" s="138"/>
      <c r="F16" s="138"/>
      <c r="G16" s="138"/>
      <c r="H16" s="138"/>
      <c r="I16" s="138"/>
    </row>
    <row r="17" spans="2:9" ht="19.5" customHeight="1" x14ac:dyDescent="0.3">
      <c r="B17" s="96" t="s">
        <v>1</v>
      </c>
      <c r="C17" s="96" t="s">
        <v>86</v>
      </c>
      <c r="D17" s="96" t="s">
        <v>87</v>
      </c>
      <c r="E17" s="96" t="s">
        <v>77</v>
      </c>
      <c r="F17" s="96" t="s">
        <v>88</v>
      </c>
      <c r="G17" s="96" t="s">
        <v>79</v>
      </c>
      <c r="H17" s="96" t="s">
        <v>89</v>
      </c>
      <c r="I17" s="96" t="s">
        <v>108</v>
      </c>
    </row>
    <row r="18" spans="2:9" ht="15.75" customHeight="1" x14ac:dyDescent="0.3">
      <c r="B18" s="74" t="str">
        <f>IF(ISNUMBER(VALUE(LEFT(Datos!B20,4))),MID(Datos!B20,6,100),Datos!B20)</f>
        <v>SUSANA NOGUERA</v>
      </c>
      <c r="C18" s="75">
        <f>Datos!C20</f>
        <v>3489091.3383842125</v>
      </c>
      <c r="D18" s="76">
        <f>Datos!D20</f>
        <v>1826892.8800000001</v>
      </c>
      <c r="E18" s="77">
        <f>Datos!E20</f>
        <v>0.52360133422188615</v>
      </c>
      <c r="F18" s="78">
        <f>Datos!G20</f>
        <v>30</v>
      </c>
      <c r="G18" s="78">
        <f>Datos!F20</f>
        <v>35</v>
      </c>
      <c r="H18" s="78">
        <f>Datos!I20</f>
        <v>5</v>
      </c>
      <c r="I18" s="97" t="str">
        <f>IF(Datos!E20&gt;=0.9,"🟢 EXCELENTE",IF(Datos!E20&gt;=0.7,"🟡 EN CAMINO",IF(Datos!E20&gt;=0.5,"🟠 ALERTA","🔴 CRÍTICO")))</f>
        <v>🟠 ALERTA</v>
      </c>
    </row>
    <row r="19" spans="2:9" ht="15.75" customHeight="1" x14ac:dyDescent="0.3">
      <c r="B19" s="79" t="str">
        <f>IF(ISNUMBER(VALUE(LEFT(Datos!B21,4))),MID(Datos!B21,6,100),Datos!B21)</f>
        <v>STEFANY ALEJANDRA VILLAREAL</v>
      </c>
      <c r="C19" s="80">
        <f>Datos!C21</f>
        <v>2577874.3253328721</v>
      </c>
      <c r="D19" s="81">
        <f>Datos!D21</f>
        <v>1571329.4100000001</v>
      </c>
      <c r="E19" s="82">
        <f>Datos!E21</f>
        <v>0.60954461377674019</v>
      </c>
      <c r="F19" s="83">
        <f>Datos!G21</f>
        <v>23</v>
      </c>
      <c r="G19" s="83">
        <f>Datos!F21</f>
        <v>35</v>
      </c>
      <c r="H19" s="83">
        <f>Datos!I21</f>
        <v>12</v>
      </c>
      <c r="I19" s="98" t="str">
        <f>IF(Datos!E21&gt;=0.9,"🟢 EXCELENTE",IF(Datos!E21&gt;=0.7,"🟡 EN CAMINO",IF(Datos!E21&gt;=0.5,"🟠 ALERTA","🔴 CRÍTICO")))</f>
        <v>🟠 ALERTA</v>
      </c>
    </row>
    <row r="20" spans="2:9" ht="15.75" customHeight="1" x14ac:dyDescent="0.3">
      <c r="B20" s="74" t="str">
        <f>IF(ISNUMBER(VALUE(LEFT(Datos!B22,4))),MID(Datos!B22,6,100),Datos!B22)</f>
        <v>MAURICIO VIVAS RUIZ</v>
      </c>
      <c r="C20" s="75">
        <f>Datos!C22</f>
        <v>4147681.1569047491</v>
      </c>
      <c r="D20" s="76">
        <f>Datos!D22</f>
        <v>6364176.7400000002</v>
      </c>
      <c r="E20" s="77">
        <f>Datos!E22</f>
        <v>1.5343939177690635</v>
      </c>
      <c r="F20" s="78">
        <f>Datos!G22</f>
        <v>17</v>
      </c>
      <c r="G20" s="78">
        <f>Datos!F22</f>
        <v>25</v>
      </c>
      <c r="H20" s="78">
        <f>Datos!I22</f>
        <v>8</v>
      </c>
      <c r="I20" s="97" t="str">
        <f>IF(Datos!E22&gt;=0.9,"🟢 EXCELENTE",IF(Datos!E22&gt;=0.7,"🟡 EN CAMINO",IF(Datos!E22&gt;=0.5,"🟠 ALERTA","🔴 CRÍTICO")))</f>
        <v>🟢 EXCELENTE</v>
      </c>
    </row>
    <row r="21" spans="2:9" ht="15.75" customHeight="1" x14ac:dyDescent="0.3">
      <c r="B21" s="79" t="str">
        <f>IF(ISNUMBER(VALUE(LEFT(Datos!B23,4))),MID(Datos!B23,6,100),Datos!B23)</f>
        <v>SANTIAGO IMBACHI JOAQUI</v>
      </c>
      <c r="C21" s="80">
        <f>Datos!C23</f>
        <v>2540205.0998750771</v>
      </c>
      <c r="D21" s="81">
        <f>Datos!D23</f>
        <v>1199693.7</v>
      </c>
      <c r="E21" s="82">
        <f>Datos!E23</f>
        <v>0.47228221849448249</v>
      </c>
      <c r="F21" s="83">
        <f>Datos!G23</f>
        <v>18</v>
      </c>
      <c r="G21" s="83">
        <f>Datos!F23</f>
        <v>35</v>
      </c>
      <c r="H21" s="83">
        <f>Datos!I23</f>
        <v>17</v>
      </c>
      <c r="I21" s="98" t="str">
        <f>IF(Datos!E23&gt;=0.9,"🟢 EXCELENTE",IF(Datos!E23&gt;=0.7,"🟡 EN CAMINO",IF(Datos!E23&gt;=0.5,"🟠 ALERTA","🔴 CRÍTICO")))</f>
        <v>🔴 CRÍTICO</v>
      </c>
    </row>
    <row r="22" spans="2:9" ht="15.75" customHeight="1" x14ac:dyDescent="0.3">
      <c r="B22" s="74" t="str">
        <f>IF(ISNUMBER(VALUE(LEFT(Datos!B24,4))),MID(Datos!B24,6,100),Datos!B24)</f>
        <v>MEYER MUÑOZ</v>
      </c>
      <c r="C22" s="75">
        <f>Datos!C24</f>
        <v>3542990.1174605954</v>
      </c>
      <c r="D22" s="76">
        <f>Datos!D24</f>
        <v>3178940.0999999996</v>
      </c>
      <c r="E22" s="77">
        <f>Datos!E24</f>
        <v>0.89724780329855247</v>
      </c>
      <c r="F22" s="78">
        <f>Datos!G24</f>
        <v>21</v>
      </c>
      <c r="G22" s="78">
        <f>Datos!F24</f>
        <v>25</v>
      </c>
      <c r="H22" s="78">
        <f>Datos!I24</f>
        <v>4</v>
      </c>
      <c r="I22" s="97" t="str">
        <f>IF(Datos!E24&gt;=0.9,"🟢 EXCELENTE",IF(Datos!E24&gt;=0.7,"🟡 EN CAMINO",IF(Datos!E24&gt;=0.5,"🟠 ALERTA","🔴 CRÍTICO")))</f>
        <v>🟡 EN CAMINO</v>
      </c>
    </row>
    <row r="23" spans="2:9" ht="15.75" customHeight="1" x14ac:dyDescent="0.3">
      <c r="B23" s="79" t="str">
        <f>IF(ISNUMBER(VALUE(LEFT(Datos!B25,4))),MID(Datos!B25,6,100),Datos!B25)</f>
        <v>FABIO VERGARA</v>
      </c>
      <c r="C23" s="80">
        <f>Datos!C25</f>
        <v>2920413.4870966147</v>
      </c>
      <c r="D23" s="81">
        <f>Datos!D25</f>
        <v>1191581.58</v>
      </c>
      <c r="E23" s="82">
        <f>Datos!E25</f>
        <v>0.40801810608833816</v>
      </c>
      <c r="F23" s="83">
        <f>Datos!G25</f>
        <v>27</v>
      </c>
      <c r="G23" s="83">
        <f>Datos!F25</f>
        <v>35</v>
      </c>
      <c r="H23" s="83">
        <f>Datos!I25</f>
        <v>8</v>
      </c>
      <c r="I23" s="98" t="str">
        <f>IF(Datos!E25&gt;=0.9,"🟢 EXCELENTE",IF(Datos!E25&gt;=0.7,"🟡 EN CAMINO",IF(Datos!E25&gt;=0.5,"🟠 ALERTA","🔴 CRÍTICO")))</f>
        <v>🔴 CRÍTICO</v>
      </c>
    </row>
    <row r="24" spans="2:9" ht="15.75" customHeight="1" x14ac:dyDescent="0.3">
      <c r="B24" s="74" t="str">
        <f>IF(ISNUMBER(VALUE(LEFT(Datos!B26,4))),MID(Datos!B26,6,100),Datos!B26)</f>
        <v>ALEJANDRO CIFUENTES GAMBOA</v>
      </c>
      <c r="C24" s="75">
        <f>Datos!C26</f>
        <v>2415122.6140957503</v>
      </c>
      <c r="D24" s="76">
        <f>Datos!D26</f>
        <v>1369837</v>
      </c>
      <c r="E24" s="77">
        <f>Datos!E26</f>
        <v>0.56719149247537592</v>
      </c>
      <c r="F24" s="78">
        <f>Datos!G26</f>
        <v>22</v>
      </c>
      <c r="G24" s="78">
        <f>Datos!F26</f>
        <v>35</v>
      </c>
      <c r="H24" s="78">
        <f>Datos!I26</f>
        <v>13</v>
      </c>
      <c r="I24" s="97" t="str">
        <f>IF(Datos!E26&gt;=0.9,"🟢 EXCELENTE",IF(Datos!E26&gt;=0.7,"🟡 EN CAMINO",IF(Datos!E26&gt;=0.5,"🟠 ALERTA","🔴 CRÍTICO")))</f>
        <v>🟠 ALERTA</v>
      </c>
    </row>
    <row r="25" spans="2:9" ht="15.75" customHeight="1" x14ac:dyDescent="0.3">
      <c r="B25" s="79" t="str">
        <f>IF(ISNUMBER(VALUE(LEFT(Datos!B27,4))),MID(Datos!B27,6,100),Datos!B27)</f>
        <v>FERNANDO CHAGUENDO</v>
      </c>
      <c r="C25" s="80">
        <f>Datos!C27</f>
        <v>4616221.8608501228</v>
      </c>
      <c r="D25" s="81">
        <f>Datos!D27</f>
        <v>1824743.06</v>
      </c>
      <c r="E25" s="82">
        <f>Datos!E27</f>
        <v>0.39528928959752285</v>
      </c>
      <c r="F25" s="83">
        <f>Datos!G27</f>
        <v>16</v>
      </c>
      <c r="G25" s="83">
        <f>Datos!F27</f>
        <v>35</v>
      </c>
      <c r="H25" s="83">
        <f>Datos!I27</f>
        <v>19</v>
      </c>
      <c r="I25" s="98" t="str">
        <f>IF(Datos!E27&gt;=0.9,"🟢 EXCELENTE",IF(Datos!E27&gt;=0.7,"🟡 EN CAMINO",IF(Datos!E27&gt;=0.5,"🟠 ALERTA","🔴 CRÍTICO")))</f>
        <v>🔴 CRÍTICO</v>
      </c>
    </row>
    <row r="26" spans="2:9" ht="18" customHeight="1" x14ac:dyDescent="0.3">
      <c r="B26" s="84" t="s">
        <v>91</v>
      </c>
      <c r="C26" s="99">
        <f>Datos!C20+Datos!C21+Datos!C22+Datos!C23+Datos!C24+Datos!C25+Datos!C26+Datos!C27</f>
        <v>26249599.999999993</v>
      </c>
      <c r="D26" s="86">
        <f>Datos!D20+Datos!D21+Datos!D22+Datos!D23+Datos!D24+Datos!D25+Datos!D26+Datos!D27</f>
        <v>18527194.469999999</v>
      </c>
      <c r="E26" s="87">
        <f>D26/C26</f>
        <v>0.70580863975070107</v>
      </c>
      <c r="F26" s="99">
        <f>Datos!G20+Datos!G21+Datos!G22+Datos!G23+Datos!G24+Datos!G25+Datos!G26+Datos!G27</f>
        <v>174</v>
      </c>
      <c r="G26" s="99">
        <f>Datos!F20+Datos!F21+Datos!F22+Datos!F23+Datos!F24+Datos!F25+Datos!F26+Datos!F27</f>
        <v>260</v>
      </c>
      <c r="H26" s="88">
        <f>SUM(H18:H25)</f>
        <v>86</v>
      </c>
      <c r="I26" s="87">
        <f>F26/G26</f>
        <v>0.66923076923076918</v>
      </c>
    </row>
    <row r="27" spans="2:9" ht="7.5" customHeight="1" x14ac:dyDescent="0.3"/>
    <row r="28" spans="2:9" ht="18" customHeight="1" x14ac:dyDescent="0.3">
      <c r="B28" s="159" t="s">
        <v>109</v>
      </c>
      <c r="C28" s="138"/>
      <c r="D28" s="138"/>
      <c r="E28" s="138"/>
      <c r="F28" s="138"/>
      <c r="G28" s="138"/>
      <c r="H28" s="138"/>
      <c r="I28" s="138"/>
    </row>
    <row r="29" spans="2:9" ht="15.75" customHeight="1" x14ac:dyDescent="0.3">
      <c r="B29" s="157" t="str">
        <f>"▶ Venta del día en progreso: "&amp;TEXT((Datos!D20+Datos!D21+Datos!D22+Datos!D23+Datos!D24+Datos!D25+Datos!D26+Datos!D27)/(Datos!C20+Datos!C21+Datos!C22+Datos!C23+Datos!C24+Datos!C25+Datos!C26+Datos!C27),"0.0%")&amp;" del presupuesto."</f>
        <v>▶ Venta del día en progreso: 70.6% del presupuesto.</v>
      </c>
      <c r="C29" s="138"/>
      <c r="D29" s="138"/>
      <c r="E29" s="138"/>
      <c r="F29" s="138"/>
      <c r="G29" s="138"/>
      <c r="H29" s="138"/>
      <c r="I29" s="138"/>
    </row>
    <row r="30" spans="2:9" ht="15.75" customHeight="1" x14ac:dyDescent="0.3">
      <c r="B30" s="154" t="str">
        <f>IF(COUNTIF(Datos!H20:H27,"&gt;="&amp;1)=8,"✔ "&amp;8&amp;" de 8 asesores cumplen meta. Excedente de "&amp;ABS((Datos!G20+Datos!G21+Datos!G22+Datos!G23+Datos!G24+Datos!G25+Datos!G26+Datos!G27)-(Datos!F20+Datos!F21+Datos!F22+Datos!F23+Datos!F24+Datos!F25+Datos!F26+Datos!F27))&amp;" pedidos sobre el objetivo.","▶ "&amp;COUNTIF(Datos!H20:H27,"&gt;="&amp;1)&amp;" de 8 asesores cumplen meta. Pendiente cerrar "&amp;MAX(0,(Datos!F20+Datos!F21+Datos!F22+Datos!F23+Datos!F24+Datos!F25+Datos!F26+Datos!F27)-(Datos!G20+Datos!G21+Datos!G22+Datos!G23+Datos!G24+Datos!G25+Datos!G26+Datos!G27))&amp;" pedidos.")</f>
        <v>▶ 0 de 8 asesores cumplen meta. Pendiente cerrar 86 pedidos.</v>
      </c>
      <c r="C30" s="138"/>
      <c r="D30" s="138"/>
      <c r="E30" s="138"/>
      <c r="F30" s="138"/>
      <c r="G30" s="138"/>
      <c r="H30" s="138"/>
      <c r="I30" s="138"/>
    </row>
    <row r="31" spans="2:9" ht="15.75" customHeight="1" x14ac:dyDescent="0.3">
      <c r="B31" s="157" t="str">
        <f>"★ Mejor asesor: "&amp;IF(ISNUMBER(VALUE(LEFT(INDEX(Datos!B20:B27,MATCH(MAX(Datos!D20:D27),Datos!D20:D27,0)),4))),MID(INDEX(Datos!B20:B27,MATCH(MAX(Datos!D20:D27),Datos!D20:D27,0)),6,100),INDEX(Datos!B20:B27,MATCH(MAX(Datos!D20:D27),Datos!D20:D27,0)))&amp;" con "&amp;TEXT(MAX(Datos!D20:D27),"$#,##0")&amp;" y "&amp;INDEX(Datos!G20:G27,MATCH(MAX(Datos!D20:D27),Datos!D20:D27,0))&amp;" facturas."</f>
        <v>★ Mejor asesor: MAURICIO VIVAS RUIZ con $6,364,177 y 17 facturas.</v>
      </c>
      <c r="C31" s="138"/>
      <c r="D31" s="138"/>
      <c r="E31" s="138"/>
      <c r="F31" s="138"/>
      <c r="G31" s="138"/>
      <c r="H31" s="138"/>
      <c r="I31" s="138"/>
    </row>
    <row r="32" spans="2:9" ht="15.75" customHeight="1" x14ac:dyDescent="0.3">
      <c r="B32" s="154" t="str">
        <f>"⚠ Asesor con menor venta: "&amp;IF(ISNUMBER(VALUE(LEFT(INDEX(Datos!B20:B27,MATCH(MIN(Datos!D20:D27),Datos!D20:D27,0)),4))),MID(INDEX(Datos!B20:B27,MATCH(MIN(Datos!D20:D27),Datos!D20:D27,0)),6,100),INDEX(Datos!B20:B27,MATCH(MIN(Datos!D20:D27),Datos!D20:D27,0)))&amp;" con "&amp;TEXT(MIN(Datos!D20:D27),"$#,##0")&amp;" ("&amp;TEXT(MIN(Datos!E20:E27),"0.0%")&amp;" del ppto)."</f>
        <v>⚠ Asesor con menor venta: FABIO VERGARA con $1,191,582 (39.5% del ppto).</v>
      </c>
      <c r="C32" s="138"/>
      <c r="D32" s="138"/>
      <c r="E32" s="138"/>
      <c r="F32" s="138"/>
      <c r="G32" s="138"/>
      <c r="H32" s="138"/>
      <c r="I32" s="138"/>
    </row>
  </sheetData>
  <mergeCells count="24">
    <mergeCell ref="B30:I30"/>
    <mergeCell ref="D6:E6"/>
    <mergeCell ref="F7:G9"/>
    <mergeCell ref="B12:C14"/>
    <mergeCell ref="H6:I6"/>
    <mergeCell ref="B11:C11"/>
    <mergeCell ref="D11:E11"/>
    <mergeCell ref="F12:G14"/>
    <mergeCell ref="B32:I32"/>
    <mergeCell ref="B4:I4"/>
    <mergeCell ref="B1:I3"/>
    <mergeCell ref="H11:I11"/>
    <mergeCell ref="B29:I29"/>
    <mergeCell ref="D7:E9"/>
    <mergeCell ref="B28:I28"/>
    <mergeCell ref="B6:C6"/>
    <mergeCell ref="H7:I9"/>
    <mergeCell ref="D12:E14"/>
    <mergeCell ref="H12:I14"/>
    <mergeCell ref="F11:G11"/>
    <mergeCell ref="B16:I16"/>
    <mergeCell ref="B7:C9"/>
    <mergeCell ref="F6:G6"/>
    <mergeCell ref="B31:I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I32"/>
  <sheetViews>
    <sheetView topLeftCell="A6" workbookViewId="0">
      <selection activeCell="B1" sqref="B1:I27"/>
    </sheetView>
  </sheetViews>
  <sheetFormatPr baseColWidth="10" defaultColWidth="8.88671875" defaultRowHeight="14.4" x14ac:dyDescent="0.3"/>
  <cols>
    <col min="1" max="1" width="3" customWidth="1"/>
    <col min="2" max="2" width="30" customWidth="1"/>
    <col min="3" max="4" width="16" customWidth="1"/>
    <col min="5" max="5" width="15" customWidth="1"/>
    <col min="6" max="6" width="13" customWidth="1"/>
    <col min="7" max="7" width="12" customWidth="1"/>
    <col min="8" max="8" width="14" customWidth="1"/>
    <col min="9" max="9" width="13" customWidth="1"/>
    <col min="10" max="10" width="3" customWidth="1"/>
  </cols>
  <sheetData>
    <row r="1" spans="2:9" ht="12" customHeight="1" x14ac:dyDescent="0.3">
      <c r="B1" s="155" t="s">
        <v>112</v>
      </c>
      <c r="C1" s="138"/>
      <c r="D1" s="138"/>
      <c r="E1" s="138"/>
      <c r="F1" s="138"/>
      <c r="G1" s="138"/>
      <c r="H1" s="138"/>
      <c r="I1" s="138"/>
    </row>
    <row r="2" spans="2:9" ht="21.75" customHeight="1" x14ac:dyDescent="0.3">
      <c r="B2" s="138"/>
      <c r="C2" s="138"/>
      <c r="D2" s="138"/>
      <c r="E2" s="138"/>
      <c r="F2" s="138"/>
      <c r="G2" s="138"/>
      <c r="H2" s="138"/>
      <c r="I2" s="138"/>
    </row>
    <row r="3" spans="2:9" ht="12" customHeight="1" x14ac:dyDescent="0.3">
      <c r="B3" s="138"/>
      <c r="C3" s="138"/>
      <c r="D3" s="138"/>
      <c r="E3" s="138"/>
      <c r="F3" s="138"/>
      <c r="G3" s="138"/>
      <c r="H3" s="138"/>
      <c r="I3" s="138"/>
    </row>
    <row r="4" spans="2:9" ht="18" customHeight="1" x14ac:dyDescent="0.3">
      <c r="B4" s="153" t="s">
        <v>99</v>
      </c>
      <c r="C4" s="138"/>
      <c r="D4" s="138"/>
      <c r="E4" s="138"/>
      <c r="F4" s="138"/>
      <c r="G4" s="138"/>
      <c r="H4" s="138"/>
      <c r="I4" s="138"/>
    </row>
    <row r="5" spans="2:9" ht="7.5" customHeight="1" x14ac:dyDescent="0.3"/>
    <row r="6" spans="2:9" ht="18" customHeight="1" x14ac:dyDescent="0.3">
      <c r="B6" s="171" t="s">
        <v>100</v>
      </c>
      <c r="C6" s="138"/>
      <c r="D6" s="156" t="s">
        <v>66</v>
      </c>
      <c r="E6" s="138"/>
      <c r="F6" s="167" t="s">
        <v>101</v>
      </c>
      <c r="G6" s="138"/>
      <c r="H6" s="170" t="s">
        <v>102</v>
      </c>
      <c r="I6" s="138"/>
    </row>
    <row r="7" spans="2:9" ht="18" customHeight="1" x14ac:dyDescent="0.3">
      <c r="B7" s="178" t="str">
        <f>TEXT((Datos!D12+Datos!D13+Datos!D14+Datos!D15+Datos!D16+Datos!D17+Datos!D18+Datos!D19)/1000000,"$#,##0.00")&amp;"M"</f>
        <v>$14.11M</v>
      </c>
      <c r="C7" s="138"/>
      <c r="D7" s="158" t="str">
        <f>TEXT((Datos!C12+Datos!C13+Datos!C14+Datos!C15+Datos!C16+Datos!C17+Datos!C18+Datos!C19)/1000000,"$#,##0.00")&amp;"M"</f>
        <v>$18.26M</v>
      </c>
      <c r="E7" s="138"/>
      <c r="F7" s="168" t="str">
        <f>TEXT((Datos!D12+Datos!D13+Datos!D14+Datos!D15+Datos!D16+Datos!D17+Datos!D18+Datos!D19)/(Datos!C12+Datos!C13+Datos!C14+Datos!C15+Datos!C16+Datos!C17+Datos!C18+Datos!C19),"0.0%")</f>
        <v>77.2%</v>
      </c>
      <c r="G7" s="138"/>
      <c r="H7" s="161" t="str">
        <f>TEXT((Datos!G12+Datos!G13+Datos!G14+Datos!G15+Datos!G16+Datos!G17+Datos!G18+Datos!G19)/(Datos!F12+Datos!F13+Datos!F14+Datos!F15+Datos!F16+Datos!F17+Datos!F18+Datos!F19),"0.0%")</f>
        <v>73.1%</v>
      </c>
      <c r="I7" s="138"/>
    </row>
    <row r="8" spans="2:9" ht="18" customHeight="1" x14ac:dyDescent="0.3">
      <c r="B8" s="138"/>
      <c r="C8" s="138"/>
      <c r="D8" s="138"/>
      <c r="E8" s="138"/>
      <c r="F8" s="138"/>
      <c r="G8" s="138"/>
      <c r="H8" s="138"/>
      <c r="I8" s="138"/>
    </row>
    <row r="9" spans="2:9" ht="18" customHeight="1" x14ac:dyDescent="0.3">
      <c r="B9" s="138"/>
      <c r="C9" s="138"/>
      <c r="D9" s="138"/>
      <c r="E9" s="138"/>
      <c r="F9" s="138"/>
      <c r="G9" s="138"/>
      <c r="H9" s="138"/>
      <c r="I9" s="138"/>
    </row>
    <row r="10" spans="2:9" ht="7.5" customHeight="1" x14ac:dyDescent="0.3"/>
    <row r="11" spans="2:9" ht="18" customHeight="1" x14ac:dyDescent="0.3">
      <c r="B11" s="171" t="s">
        <v>103</v>
      </c>
      <c r="C11" s="138"/>
      <c r="D11" s="167" t="s">
        <v>104</v>
      </c>
      <c r="E11" s="138"/>
      <c r="F11" s="176" t="s">
        <v>105</v>
      </c>
      <c r="G11" s="138"/>
      <c r="H11" s="156" t="s">
        <v>106</v>
      </c>
      <c r="I11" s="138"/>
    </row>
    <row r="12" spans="2:9" ht="18" customHeight="1" x14ac:dyDescent="0.3">
      <c r="B12" s="169" t="str">
        <f>TEXT(Datos!G12+Datos!G13+Datos!G14+Datos!G15+Datos!G16+Datos!G17+Datos!G18+Datos!G19,"0")&amp;" / "&amp;TEXT(Datos!F12+Datos!F13+Datos!F14+Datos!F15+Datos!F16+Datos!F17+Datos!F18+Datos!F19,"0")</f>
        <v>190 / 260</v>
      </c>
      <c r="C12" s="138"/>
      <c r="D12" s="162" t="str">
        <f>TEXT(COUNTIF(Datos!H12:H19,"&gt;="&amp;1),"0")&amp;" / "&amp;"8"</f>
        <v>0 / 8</v>
      </c>
      <c r="E12" s="138"/>
      <c r="F12" s="169" t="str">
        <f>IF(ISNUMBER(VALUE(LEFT(INDEX(Datos!B12:B19,MATCH(MAX(Datos!D12:D19),Datos!D12:D19,0)),4))),MID(INDEX(Datos!B12:B19,MATCH(MAX(Datos!D12:D19),Datos!D12:D19,0)),6,100),INDEX(Datos!B12:B19,MATCH(MAX(Datos!D12:D19),Datos!D12:D19,0)))</f>
        <v>JUAN CAMILO SOTELO</v>
      </c>
      <c r="G12" s="138"/>
      <c r="H12" s="163" t="str">
        <f>TEXT(ABS(Datos!F12+Datos!F13+Datos!F14+Datos!F15+Datos!F16+Datos!F17+Datos!F18+Datos!F19-Datos!G12+Datos!G13+Datos!G14+Datos!G15+Datos!G16+Datos!G17+Datos!G18+Datos!G19),"0")&amp;IF(Datos!G12+Datos!G13+Datos!G14+Datos!G15+Datos!G16+Datos!G17+Datos!G18+Datos!G19&gt;=Datos!F12+Datos!F13+Datos!F14+Datos!F15+Datos!F16+Datos!F17+Datos!F18+Datos!F19," excedente"," pedidos")</f>
        <v>414 pedidos</v>
      </c>
      <c r="I12" s="138"/>
    </row>
    <row r="13" spans="2:9" ht="18" customHeight="1" x14ac:dyDescent="0.3">
      <c r="B13" s="138"/>
      <c r="C13" s="138"/>
      <c r="D13" s="138"/>
      <c r="E13" s="138"/>
      <c r="F13" s="138"/>
      <c r="G13" s="138"/>
      <c r="H13" s="138"/>
      <c r="I13" s="138"/>
    </row>
    <row r="14" spans="2:9" ht="18" customHeight="1" x14ac:dyDescent="0.3">
      <c r="B14" s="138"/>
      <c r="C14" s="138"/>
      <c r="D14" s="138"/>
      <c r="E14" s="138"/>
      <c r="F14" s="138"/>
      <c r="G14" s="138"/>
      <c r="H14" s="138"/>
      <c r="I14" s="138"/>
    </row>
    <row r="15" spans="2:9" ht="7.5" customHeight="1" x14ac:dyDescent="0.3"/>
    <row r="16" spans="2:9" ht="19.5" customHeight="1" x14ac:dyDescent="0.3">
      <c r="B16" s="177" t="s">
        <v>113</v>
      </c>
      <c r="C16" s="138"/>
      <c r="D16" s="138"/>
      <c r="E16" s="138"/>
      <c r="F16" s="138"/>
      <c r="G16" s="138"/>
      <c r="H16" s="138"/>
      <c r="I16" s="138"/>
    </row>
    <row r="17" spans="2:9" ht="19.5" customHeight="1" x14ac:dyDescent="0.3">
      <c r="B17" s="96" t="s">
        <v>1</v>
      </c>
      <c r="C17" s="96" t="s">
        <v>86</v>
      </c>
      <c r="D17" s="96" t="s">
        <v>87</v>
      </c>
      <c r="E17" s="96" t="s">
        <v>77</v>
      </c>
      <c r="F17" s="96" t="s">
        <v>88</v>
      </c>
      <c r="G17" s="96" t="s">
        <v>79</v>
      </c>
      <c r="H17" s="96" t="s">
        <v>89</v>
      </c>
      <c r="I17" s="96" t="s">
        <v>108</v>
      </c>
    </row>
    <row r="18" spans="2:9" ht="15.75" customHeight="1" x14ac:dyDescent="0.3">
      <c r="B18" s="74" t="str">
        <f>IF(ISNUMBER(VALUE(LEFT(Datos!B12,4))),MID(Datos!B12,6,100),Datos!B12)</f>
        <v>LEYDI CAROLINA VICTORIA OJEDA</v>
      </c>
      <c r="C18" s="75">
        <f>Datos!C12</f>
        <v>2115234.3998289602</v>
      </c>
      <c r="D18" s="76">
        <f>Datos!D12</f>
        <v>1066890.82</v>
      </c>
      <c r="E18" s="77">
        <f>Datos!E12</f>
        <v>0.50438420445803545</v>
      </c>
      <c r="F18" s="78">
        <f>Datos!G12</f>
        <v>18</v>
      </c>
      <c r="G18" s="78">
        <f>Datos!F12</f>
        <v>35</v>
      </c>
      <c r="H18" s="78">
        <f>Datos!I12</f>
        <v>17</v>
      </c>
      <c r="I18" s="97" t="str">
        <f>IF(Datos!E12&gt;=0.9,"🟢 EXCELENTE",IF(Datos!E12&gt;=0.7,"🟡 EN CAMINO",IF(Datos!E12&gt;=0.5,"🟠 ALERTA","🔴 CRÍTICO")))</f>
        <v>🟠 ALERTA</v>
      </c>
    </row>
    <row r="19" spans="2:9" ht="15.75" customHeight="1" x14ac:dyDescent="0.3">
      <c r="B19" s="79" t="str">
        <f>IF(ISNUMBER(VALUE(LEFT(Datos!B13,4))),MID(Datos!B13,6,100),Datos!B13)</f>
        <v>MAYI KATERINE PEREZ ORTIZ</v>
      </c>
      <c r="C19" s="80">
        <f>Datos!C13</f>
        <v>2350449.4213981228</v>
      </c>
      <c r="D19" s="81">
        <f>Datos!D13</f>
        <v>2279179.2400000002</v>
      </c>
      <c r="E19" s="82">
        <f>Datos!E13</f>
        <v>0.96967806209770357</v>
      </c>
      <c r="F19" s="83">
        <f>Datos!G13</f>
        <v>28</v>
      </c>
      <c r="G19" s="83">
        <f>Datos!F13</f>
        <v>35</v>
      </c>
      <c r="H19" s="83">
        <f>Datos!I13</f>
        <v>7</v>
      </c>
      <c r="I19" s="98" t="str">
        <f>IF(Datos!E13&gt;=0.9,"🟢 EXCELENTE",IF(Datos!E13&gt;=0.7,"🟡 EN CAMINO",IF(Datos!E13&gt;=0.5,"🟠 ALERTA","🔴 CRÍTICO")))</f>
        <v>🟢 EXCELENTE</v>
      </c>
    </row>
    <row r="20" spans="2:9" ht="15.75" customHeight="1" x14ac:dyDescent="0.3">
      <c r="B20" s="74" t="str">
        <f>IF(ISNUMBER(VALUE(LEFT(Datos!B14,4))),MID(Datos!B14,6,100),Datos!B14)</f>
        <v>NICOL CRUZ</v>
      </c>
      <c r="C20" s="75">
        <f>Datos!C14</f>
        <v>2027779.2395152654</v>
      </c>
      <c r="D20" s="76">
        <f>Datos!D14</f>
        <v>852615</v>
      </c>
      <c r="E20" s="77">
        <f>Datos!E14</f>
        <v>0.42046736813609703</v>
      </c>
      <c r="F20" s="78">
        <f>Datos!G14</f>
        <v>21</v>
      </c>
      <c r="G20" s="78">
        <f>Datos!F14</f>
        <v>35</v>
      </c>
      <c r="H20" s="78">
        <f>Datos!I14</f>
        <v>14</v>
      </c>
      <c r="I20" s="97" t="str">
        <f>IF(Datos!E14&gt;=0.9,"🟢 EXCELENTE",IF(Datos!E14&gt;=0.7,"🟡 EN CAMINO",IF(Datos!E14&gt;=0.5,"🟠 ALERTA","🔴 CRÍTICO")))</f>
        <v>🔴 CRÍTICO</v>
      </c>
    </row>
    <row r="21" spans="2:9" ht="15.75" customHeight="1" x14ac:dyDescent="0.3">
      <c r="B21" s="79" t="str">
        <f>IF(ISNUMBER(VALUE(LEFT(Datos!B15,4))),MID(Datos!B15,6,100),Datos!B15)</f>
        <v>CRISTIAN CALLE</v>
      </c>
      <c r="C21" s="80">
        <f>Datos!C15</f>
        <v>1995472.1419404752</v>
      </c>
      <c r="D21" s="81">
        <f>Datos!D15</f>
        <v>1295178.03</v>
      </c>
      <c r="E21" s="82">
        <f>Datos!E15</f>
        <v>0.64905843723807555</v>
      </c>
      <c r="F21" s="83">
        <f>Datos!G15</f>
        <v>27</v>
      </c>
      <c r="G21" s="83">
        <f>Datos!F15</f>
        <v>35</v>
      </c>
      <c r="H21" s="83">
        <f>Datos!I15</f>
        <v>8</v>
      </c>
      <c r="I21" s="98" t="str">
        <f>IF(Datos!E15&gt;=0.9,"🟢 EXCELENTE",IF(Datos!E15&gt;=0.7,"🟡 EN CAMINO",IF(Datos!E15&gt;=0.5,"🟠 ALERTA","🔴 CRÍTICO")))</f>
        <v>🟠 ALERTA</v>
      </c>
    </row>
    <row r="22" spans="2:9" ht="15.75" customHeight="1" x14ac:dyDescent="0.3">
      <c r="B22" s="74" t="str">
        <f>IF(ISNUMBER(VALUE(LEFT(Datos!B16,4))),MID(Datos!B16,6,100),Datos!B16)</f>
        <v>JUAN CAMILO SOTELO</v>
      </c>
      <c r="C22" s="75">
        <f>Datos!C16</f>
        <v>2883608.0195848034</v>
      </c>
      <c r="D22" s="76">
        <f>Datos!D16</f>
        <v>2795096.26</v>
      </c>
      <c r="E22" s="77">
        <f>Datos!E16</f>
        <v>0.96930520411108168</v>
      </c>
      <c r="F22" s="78">
        <f>Datos!G16</f>
        <v>16</v>
      </c>
      <c r="G22" s="78">
        <f>Datos!F16</f>
        <v>25</v>
      </c>
      <c r="H22" s="78">
        <f>Datos!I16</f>
        <v>9</v>
      </c>
      <c r="I22" s="97" t="str">
        <f>IF(Datos!E16&gt;=0.9,"🟢 EXCELENTE",IF(Datos!E16&gt;=0.7,"🟡 EN CAMINO",IF(Datos!E16&gt;=0.5,"🟠 ALERTA","🔴 CRÍTICO")))</f>
        <v>🟢 EXCELENTE</v>
      </c>
    </row>
    <row r="23" spans="2:9" ht="15.75" customHeight="1" x14ac:dyDescent="0.3">
      <c r="B23" s="79" t="str">
        <f>IF(ISNUMBER(VALUE(LEFT(Datos!B17,4))),MID(Datos!B17,6,100),Datos!B17)</f>
        <v>LINA TRUJILLO</v>
      </c>
      <c r="C23" s="80">
        <f>Datos!C17</f>
        <v>2192336.4590532691</v>
      </c>
      <c r="D23" s="81">
        <f>Datos!D17</f>
        <v>2182941.67</v>
      </c>
      <c r="E23" s="82">
        <f>Datos!E17</f>
        <v>0.99571471385494992</v>
      </c>
      <c r="F23" s="83">
        <f>Datos!G17</f>
        <v>33</v>
      </c>
      <c r="G23" s="83">
        <f>Datos!F17</f>
        <v>35</v>
      </c>
      <c r="H23" s="83">
        <f>Datos!I17</f>
        <v>2</v>
      </c>
      <c r="I23" s="98" t="str">
        <f>IF(Datos!E17&gt;=0.9,"🟢 EXCELENTE",IF(Datos!E17&gt;=0.7,"🟡 EN CAMINO",IF(Datos!E17&gt;=0.5,"🟠 ALERTA","🔴 CRÍTICO")))</f>
        <v>🟢 EXCELENTE</v>
      </c>
    </row>
    <row r="24" spans="2:9" ht="15.75" customHeight="1" x14ac:dyDescent="0.3">
      <c r="B24" s="74" t="str">
        <f>IF(ISNUMBER(VALUE(LEFT(Datos!B18,4))),MID(Datos!B18,6,100),Datos!B18)</f>
        <v>ANGELA AMPUDIA MOLINA</v>
      </c>
      <c r="C24" s="75">
        <f>Datos!C18</f>
        <v>2822450.2144699804</v>
      </c>
      <c r="D24" s="76">
        <f>Datos!D18</f>
        <v>1959917</v>
      </c>
      <c r="E24" s="77">
        <f>Datos!E18</f>
        <v>0.69440268244662273</v>
      </c>
      <c r="F24" s="78">
        <f>Datos!G18</f>
        <v>23</v>
      </c>
      <c r="G24" s="78">
        <f>Datos!F18</f>
        <v>25</v>
      </c>
      <c r="H24" s="78">
        <f>Datos!I18</f>
        <v>2</v>
      </c>
      <c r="I24" s="97" t="str">
        <f>IF(Datos!E18&gt;=0.9,"🟢 EXCELENTE",IF(Datos!E18&gt;=0.7,"🟡 EN CAMINO",IF(Datos!E18&gt;=0.5,"🟠 ALERTA","🔴 CRÍTICO")))</f>
        <v>🟠 ALERTA</v>
      </c>
    </row>
    <row r="25" spans="2:9" ht="15.75" customHeight="1" x14ac:dyDescent="0.3">
      <c r="B25" s="79" t="str">
        <f>IF(ISNUMBER(VALUE(LEFT(Datos!B19,4))),MID(Datos!B19,6,100),Datos!B19)</f>
        <v>STEPHANIE MUNÑOZ</v>
      </c>
      <c r="C25" s="80">
        <f>Datos!C19</f>
        <v>1875070.1152175944</v>
      </c>
      <c r="D25" s="81">
        <f>Datos!D19</f>
        <v>1673955.02</v>
      </c>
      <c r="E25" s="82">
        <f>Datos!E19</f>
        <v>0.89274262675011717</v>
      </c>
      <c r="F25" s="83">
        <f>Datos!G19</f>
        <v>24</v>
      </c>
      <c r="G25" s="83">
        <f>Datos!F19</f>
        <v>35</v>
      </c>
      <c r="H25" s="83">
        <f>Datos!I19</f>
        <v>11</v>
      </c>
      <c r="I25" s="98" t="str">
        <f>IF(Datos!E19&gt;=0.9,"🟢 EXCELENTE",IF(Datos!E19&gt;=0.7,"🟡 EN CAMINO",IF(Datos!E19&gt;=0.5,"🟠 ALERTA","🔴 CRÍTICO")))</f>
        <v>🟡 EN CAMINO</v>
      </c>
    </row>
    <row r="26" spans="2:9" ht="18" customHeight="1" x14ac:dyDescent="0.3">
      <c r="B26" s="84" t="s">
        <v>92</v>
      </c>
      <c r="C26" s="99">
        <f>Datos!C12+Datos!C13+Datos!C14+Datos!C15+Datos!C16+Datos!C17+Datos!C18+Datos!C19</f>
        <v>18262400.011008471</v>
      </c>
      <c r="D26" s="86">
        <f>Datos!D12+Datos!D13+Datos!D14+Datos!D15+Datos!D16+Datos!D17+Datos!D18+Datos!D19</f>
        <v>14105773.039999999</v>
      </c>
      <c r="E26" s="87">
        <f>D26/C26</f>
        <v>0.77239426534831779</v>
      </c>
      <c r="F26" s="99">
        <f>Datos!G12+Datos!G13+Datos!G14+Datos!G15+Datos!G16+Datos!G17+Datos!G18+Datos!G19</f>
        <v>190</v>
      </c>
      <c r="G26" s="99">
        <f>Datos!F12+Datos!F13+Datos!F14+Datos!F15+Datos!F16+Datos!F17+Datos!F18+Datos!F19</f>
        <v>260</v>
      </c>
      <c r="H26" s="88">
        <f>SUM(H18:H25)</f>
        <v>70</v>
      </c>
      <c r="I26" s="87">
        <f>F26/G26</f>
        <v>0.73076923076923073</v>
      </c>
    </row>
    <row r="27" spans="2:9" ht="7.5" customHeight="1" x14ac:dyDescent="0.3"/>
    <row r="28" spans="2:9" ht="18" customHeight="1" x14ac:dyDescent="0.3">
      <c r="B28" s="159" t="s">
        <v>109</v>
      </c>
      <c r="C28" s="138"/>
      <c r="D28" s="138"/>
      <c r="E28" s="138"/>
      <c r="F28" s="138"/>
      <c r="G28" s="138"/>
      <c r="H28" s="138"/>
      <c r="I28" s="138"/>
    </row>
    <row r="29" spans="2:9" ht="15.75" customHeight="1" x14ac:dyDescent="0.3">
      <c r="B29" s="157" t="str">
        <f>"▶ Venta del día en progreso: "&amp;TEXT((Datos!D12+Datos!D13+Datos!D14+Datos!D15+Datos!D16+Datos!D17+Datos!D18+Datos!D19)/(Datos!C12+Datos!C13+Datos!C14+Datos!C15+Datos!C16+Datos!C17+Datos!C18+Datos!C19),"0.0%")&amp;" del presupuesto."</f>
        <v>▶ Venta del día en progreso: 77.2% del presupuesto.</v>
      </c>
      <c r="C29" s="138"/>
      <c r="D29" s="138"/>
      <c r="E29" s="138"/>
      <c r="F29" s="138"/>
      <c r="G29" s="138"/>
      <c r="H29" s="138"/>
      <c r="I29" s="138"/>
    </row>
    <row r="30" spans="2:9" ht="15.75" customHeight="1" x14ac:dyDescent="0.3">
      <c r="B30" s="154" t="str">
        <f>IF(COUNTIF(Datos!H12:H19,"&gt;="&amp;1)=8,"✔ "&amp;8&amp;" de 8 asesores cumplen meta. Excedente de "&amp;ABS((Datos!G12+Datos!G13+Datos!G14+Datos!G15+Datos!G16+Datos!G17+Datos!G18+Datos!G19)-(Datos!F12+Datos!F13+Datos!F14+Datos!F15+Datos!F16+Datos!F17+Datos!F18+Datos!F19))&amp;" pedidos sobre el objetivo.","▶ "&amp;COUNTIF(Datos!H12:H19,"&gt;="&amp;1)&amp;" de 8 asesores cumplen meta. Pendiente cerrar "&amp;MAX(0,(Datos!F12+Datos!F13+Datos!F14+Datos!F15+Datos!F16+Datos!F17+Datos!F18+Datos!F19)-(Datos!G12+Datos!G13+Datos!G14+Datos!G15+Datos!G16+Datos!G17+Datos!G18+Datos!G19))&amp;" pedidos.")</f>
        <v>▶ 0 de 8 asesores cumplen meta. Pendiente cerrar 70 pedidos.</v>
      </c>
      <c r="C30" s="138"/>
      <c r="D30" s="138"/>
      <c r="E30" s="138"/>
      <c r="F30" s="138"/>
      <c r="G30" s="138"/>
      <c r="H30" s="138"/>
      <c r="I30" s="138"/>
    </row>
    <row r="31" spans="2:9" ht="15.75" customHeight="1" x14ac:dyDescent="0.3">
      <c r="B31" s="157" t="str">
        <f>"★ Mejor asesor: "&amp;IF(ISNUMBER(VALUE(LEFT(INDEX(Datos!B12:B19,MATCH(MAX(Datos!D12:D19),Datos!D12:D19,0)),4))),MID(INDEX(Datos!B12:B19,MATCH(MAX(Datos!D12:D19),Datos!D12:D19,0)),6,100),INDEX(Datos!B12:B19,MATCH(MAX(Datos!D12:D19),Datos!D12:D19,0)))&amp;" con "&amp;TEXT(MAX(Datos!D12:D19),"$#,##0")&amp;" y "&amp;INDEX(Datos!G12:G19,MATCH(MAX(Datos!D12:D19),Datos!D12:D19,0))&amp;" facturas."</f>
        <v>★ Mejor asesor: JUAN CAMILO SOTELO con $2,795,096 y 16 facturas.</v>
      </c>
      <c r="C31" s="138"/>
      <c r="D31" s="138"/>
      <c r="E31" s="138"/>
      <c r="F31" s="138"/>
      <c r="G31" s="138"/>
      <c r="H31" s="138"/>
      <c r="I31" s="138"/>
    </row>
    <row r="32" spans="2:9" ht="15.75" customHeight="1" x14ac:dyDescent="0.3">
      <c r="B32" s="154" t="str">
        <f>"⚠ Asesor con menor venta: "&amp;IF(ISNUMBER(VALUE(LEFT(INDEX(Datos!B12:B19,MATCH(MIN(Datos!D12:D19),Datos!D12:D19,0)),4))),MID(INDEX(Datos!B12:B19,MATCH(MIN(Datos!D12:D19),Datos!D12:D19,0)),6,100),INDEX(Datos!B12:B19,MATCH(MIN(Datos!D12:D19),Datos!D12:D19,0)))&amp;" con "&amp;TEXT(MIN(Datos!D12:D19),"$#,##0")&amp;" ("&amp;TEXT(MIN(Datos!E12:E19),"0.0%")&amp;" del ppto)."</f>
        <v>⚠ Asesor con menor venta: NICOL CRUZ con $852,615 (42.0% del ppto).</v>
      </c>
      <c r="C32" s="138"/>
      <c r="D32" s="138"/>
      <c r="E32" s="138"/>
      <c r="F32" s="138"/>
      <c r="G32" s="138"/>
      <c r="H32" s="138"/>
      <c r="I32" s="138"/>
    </row>
  </sheetData>
  <mergeCells count="24">
    <mergeCell ref="B30:I30"/>
    <mergeCell ref="D6:E6"/>
    <mergeCell ref="F7:G9"/>
    <mergeCell ref="B12:C14"/>
    <mergeCell ref="H6:I6"/>
    <mergeCell ref="B11:C11"/>
    <mergeCell ref="D11:E11"/>
    <mergeCell ref="F12:G14"/>
    <mergeCell ref="B32:I32"/>
    <mergeCell ref="B4:I4"/>
    <mergeCell ref="B1:I3"/>
    <mergeCell ref="H11:I11"/>
    <mergeCell ref="B29:I29"/>
    <mergeCell ref="D7:E9"/>
    <mergeCell ref="B28:I28"/>
    <mergeCell ref="B6:C6"/>
    <mergeCell ref="H7:I9"/>
    <mergeCell ref="D12:E14"/>
    <mergeCell ref="H12:I14"/>
    <mergeCell ref="F11:G11"/>
    <mergeCell ref="B16:I16"/>
    <mergeCell ref="B7:C9"/>
    <mergeCell ref="F6:G6"/>
    <mergeCell ref="B31:I3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I32"/>
  <sheetViews>
    <sheetView topLeftCell="A3" workbookViewId="0">
      <selection activeCell="B1" sqref="B1:I26"/>
    </sheetView>
  </sheetViews>
  <sheetFormatPr baseColWidth="10" defaultColWidth="8.88671875" defaultRowHeight="14.4" x14ac:dyDescent="0.3"/>
  <cols>
    <col min="1" max="1" width="3" customWidth="1"/>
    <col min="2" max="2" width="30" customWidth="1"/>
    <col min="3" max="4" width="16" customWidth="1"/>
    <col min="5" max="5" width="15" customWidth="1"/>
    <col min="6" max="6" width="13" customWidth="1"/>
    <col min="7" max="7" width="12" customWidth="1"/>
    <col min="8" max="8" width="14" customWidth="1"/>
    <col min="9" max="9" width="13" customWidth="1"/>
    <col min="10" max="10" width="3" customWidth="1"/>
  </cols>
  <sheetData>
    <row r="1" spans="2:9" ht="12" customHeight="1" x14ac:dyDescent="0.3">
      <c r="B1" s="155" t="s">
        <v>114</v>
      </c>
      <c r="C1" s="138"/>
      <c r="D1" s="138"/>
      <c r="E1" s="138"/>
      <c r="F1" s="138"/>
      <c r="G1" s="138"/>
      <c r="H1" s="138"/>
      <c r="I1" s="138"/>
    </row>
    <row r="2" spans="2:9" ht="21.75" customHeight="1" x14ac:dyDescent="0.3">
      <c r="B2" s="138"/>
      <c r="C2" s="138"/>
      <c r="D2" s="138"/>
      <c r="E2" s="138"/>
      <c r="F2" s="138"/>
      <c r="G2" s="138"/>
      <c r="H2" s="138"/>
      <c r="I2" s="138"/>
    </row>
    <row r="3" spans="2:9" ht="12" customHeight="1" x14ac:dyDescent="0.3">
      <c r="B3" s="138"/>
      <c r="C3" s="138"/>
      <c r="D3" s="138"/>
      <c r="E3" s="138"/>
      <c r="F3" s="138"/>
      <c r="G3" s="138"/>
      <c r="H3" s="138"/>
      <c r="I3" s="138"/>
    </row>
    <row r="4" spans="2:9" ht="18" customHeight="1" x14ac:dyDescent="0.3">
      <c r="B4" s="153" t="s">
        <v>99</v>
      </c>
      <c r="C4" s="138"/>
      <c r="D4" s="138"/>
      <c r="E4" s="138"/>
      <c r="F4" s="138"/>
      <c r="G4" s="138"/>
      <c r="H4" s="138"/>
      <c r="I4" s="138"/>
    </row>
    <row r="5" spans="2:9" ht="7.5" customHeight="1" x14ac:dyDescent="0.3"/>
    <row r="6" spans="2:9" ht="18" customHeight="1" x14ac:dyDescent="0.3">
      <c r="B6" s="167" t="s">
        <v>100</v>
      </c>
      <c r="C6" s="138"/>
      <c r="D6" s="156" t="s">
        <v>66</v>
      </c>
      <c r="E6" s="138"/>
      <c r="F6" s="167" t="s">
        <v>101</v>
      </c>
      <c r="G6" s="138"/>
      <c r="H6" s="170" t="s">
        <v>102</v>
      </c>
      <c r="I6" s="138"/>
    </row>
    <row r="7" spans="2:9" ht="18" customHeight="1" x14ac:dyDescent="0.3">
      <c r="B7" s="168" t="str">
        <f>TEXT((Datos!D28+Datos!D29+Datos!D30+Datos!D31+Datos!D32+Datos!D33+Datos!D34+Datos!D35)/1000000,"$#,##0.00")&amp;"M"</f>
        <v>$17.11M</v>
      </c>
      <c r="C7" s="138"/>
      <c r="D7" s="158" t="str">
        <f>TEXT((Datos!C28+Datos!C29+Datos!C30+Datos!C31+Datos!C32+Datos!C33+Datos!C34+Datos!C35)/1000000,"$#,##0.00")&amp;"M"</f>
        <v>$18.84M</v>
      </c>
      <c r="E7" s="138"/>
      <c r="F7" s="168" t="str">
        <f>TEXT((Datos!D28+Datos!D29+Datos!D30+Datos!D31+Datos!D32+Datos!D33+Datos!D34+Datos!D35)/(Datos!C28+Datos!C29+Datos!C30+Datos!C31+Datos!C32+Datos!C33+Datos!C34+Datos!C35),"0.0%")</f>
        <v>90.8%</v>
      </c>
      <c r="G7" s="138"/>
      <c r="H7" s="161" t="str">
        <f>TEXT((Datos!G28+Datos!G29+Datos!G30+Datos!G31+Datos!G32+Datos!G33+Datos!G34+Datos!G35)/(Datos!F28+Datos!F29+Datos!F30+Datos!F31+Datos!F32+Datos!F33+Datos!F34+Datos!F35),"0.0%")</f>
        <v>66.5%</v>
      </c>
      <c r="I7" s="138"/>
    </row>
    <row r="8" spans="2:9" ht="18" customHeight="1" x14ac:dyDescent="0.3">
      <c r="B8" s="138"/>
      <c r="C8" s="138"/>
      <c r="D8" s="138"/>
      <c r="E8" s="138"/>
      <c r="F8" s="138"/>
      <c r="G8" s="138"/>
      <c r="H8" s="138"/>
      <c r="I8" s="138"/>
    </row>
    <row r="9" spans="2:9" ht="18" customHeight="1" x14ac:dyDescent="0.3">
      <c r="B9" s="138"/>
      <c r="C9" s="138"/>
      <c r="D9" s="138"/>
      <c r="E9" s="138"/>
      <c r="F9" s="138"/>
      <c r="G9" s="138"/>
      <c r="H9" s="138"/>
      <c r="I9" s="138"/>
    </row>
    <row r="10" spans="2:9" ht="7.5" customHeight="1" x14ac:dyDescent="0.3"/>
    <row r="11" spans="2:9" ht="18" customHeight="1" x14ac:dyDescent="0.3">
      <c r="B11" s="171" t="s">
        <v>103</v>
      </c>
      <c r="C11" s="138"/>
      <c r="D11" s="167" t="s">
        <v>104</v>
      </c>
      <c r="E11" s="138"/>
      <c r="F11" s="179" t="s">
        <v>105</v>
      </c>
      <c r="G11" s="138"/>
      <c r="H11" s="156" t="s">
        <v>106</v>
      </c>
      <c r="I11" s="138"/>
    </row>
    <row r="12" spans="2:9" ht="18" customHeight="1" x14ac:dyDescent="0.3">
      <c r="B12" s="169" t="str">
        <f>TEXT(Datos!G28+Datos!G29+Datos!G30+Datos!G31+Datos!G32+Datos!G33+Datos!G34+Datos!G35,"0")&amp;" / "&amp;TEXT(Datos!F28+Datos!F29+Datos!F30+Datos!F31+Datos!F32+Datos!F33+Datos!F34+Datos!F35,"0")</f>
        <v>173 / 260</v>
      </c>
      <c r="C12" s="138"/>
      <c r="D12" s="162" t="str">
        <f>TEXT(COUNTIF(Datos!H28:H35,"&gt;="&amp;1),"0")&amp;" / "&amp;"8"</f>
        <v>1 / 8</v>
      </c>
      <c r="E12" s="138"/>
      <c r="F12" s="162" t="str">
        <f>IF(ISNUMBER(VALUE(LEFT(INDEX(Datos!B28:B35,MATCH(MAX(Datos!D28:D35),Datos!D28:D35,0)),4))),MID(INDEX(Datos!B28:B35,MATCH(MAX(Datos!D28:D35),Datos!D28:D35,0)),6,100),INDEX(Datos!B28:B35,MATCH(MAX(Datos!D28:D35),Datos!D28:D35,0)))</f>
        <v>MARIA CRISTINA DIAZ</v>
      </c>
      <c r="G12" s="138"/>
      <c r="H12" s="163" t="str">
        <f>TEXT(ABS(Datos!F28+Datos!F29+Datos!F30+Datos!F31+Datos!F32+Datos!F33+Datos!F34+Datos!F35-Datos!G28+Datos!G29+Datos!G30+Datos!G31+Datos!G32+Datos!G33+Datos!G34+Datos!G35),"0")&amp;IF(Datos!G28+Datos!G29+Datos!G30+Datos!G31+Datos!G32+Datos!G33+Datos!G34+Datos!G35&gt;=Datos!F28+Datos!F29+Datos!F30+Datos!F31+Datos!F32+Datos!F33+Datos!F34+Datos!F35," excedente"," pedidos")</f>
        <v>395 pedidos</v>
      </c>
      <c r="I12" s="138"/>
    </row>
    <row r="13" spans="2:9" ht="18" customHeight="1" x14ac:dyDescent="0.3">
      <c r="B13" s="138"/>
      <c r="C13" s="138"/>
      <c r="D13" s="138"/>
      <c r="E13" s="138"/>
      <c r="F13" s="138"/>
      <c r="G13" s="138"/>
      <c r="H13" s="138"/>
      <c r="I13" s="138"/>
    </row>
    <row r="14" spans="2:9" ht="18" customHeight="1" x14ac:dyDescent="0.3">
      <c r="B14" s="138"/>
      <c r="C14" s="138"/>
      <c r="D14" s="138"/>
      <c r="E14" s="138"/>
      <c r="F14" s="138"/>
      <c r="G14" s="138"/>
      <c r="H14" s="138"/>
      <c r="I14" s="138"/>
    </row>
    <row r="15" spans="2:9" ht="7.5" customHeight="1" x14ac:dyDescent="0.3"/>
    <row r="16" spans="2:9" ht="19.5" customHeight="1" x14ac:dyDescent="0.3">
      <c r="B16" s="180" t="s">
        <v>115</v>
      </c>
      <c r="C16" s="138"/>
      <c r="D16" s="138"/>
      <c r="E16" s="138"/>
      <c r="F16" s="138"/>
      <c r="G16" s="138"/>
      <c r="H16" s="138"/>
      <c r="I16" s="138"/>
    </row>
    <row r="17" spans="2:9" ht="19.5" customHeight="1" x14ac:dyDescent="0.3">
      <c r="B17" s="96" t="s">
        <v>1</v>
      </c>
      <c r="C17" s="96" t="s">
        <v>86</v>
      </c>
      <c r="D17" s="96" t="s">
        <v>87</v>
      </c>
      <c r="E17" s="96" t="s">
        <v>77</v>
      </c>
      <c r="F17" s="96" t="s">
        <v>88</v>
      </c>
      <c r="G17" s="96" t="s">
        <v>79</v>
      </c>
      <c r="H17" s="96" t="s">
        <v>89</v>
      </c>
      <c r="I17" s="96" t="s">
        <v>108</v>
      </c>
    </row>
    <row r="18" spans="2:9" ht="15.75" customHeight="1" x14ac:dyDescent="0.3">
      <c r="B18" s="74" t="str">
        <f>IF(ISNUMBER(VALUE(LEFT(Datos!B28,4))),MID(Datos!B28,6,100),Datos!B28)</f>
        <v>VICTOR MANUEL GEMBUEL YANDI</v>
      </c>
      <c r="C18" s="75">
        <f>Datos!C28</f>
        <v>2620062.3345599254</v>
      </c>
      <c r="D18" s="76">
        <f>Datos!D28</f>
        <v>2547302.16</v>
      </c>
      <c r="E18" s="77">
        <f>Datos!E28</f>
        <v>0.97222960171588957</v>
      </c>
      <c r="F18" s="78">
        <f>Datos!G28</f>
        <v>19</v>
      </c>
      <c r="G18" s="78">
        <f>Datos!F28</f>
        <v>35</v>
      </c>
      <c r="H18" s="78">
        <f>Datos!I28</f>
        <v>16</v>
      </c>
      <c r="I18" s="97" t="str">
        <f>IF(Datos!E28&gt;=0.9,"🟢 EXCELENTE",IF(Datos!E28&gt;=0.7,"🟡 EN CAMINO",IF(Datos!E28&gt;=0.5,"🟠 ALERTA","🔴 CRÍTICO")))</f>
        <v>🟢 EXCELENTE</v>
      </c>
    </row>
    <row r="19" spans="2:9" ht="15.75" customHeight="1" x14ac:dyDescent="0.3">
      <c r="B19" s="79" t="str">
        <f>IF(ISNUMBER(VALUE(LEFT(Datos!B29,4))),MID(Datos!B29,6,100),Datos!B29)</f>
        <v>SEBASTIAN MAURICIO MOSQUERA</v>
      </c>
      <c r="C19" s="80">
        <f>Datos!C29</f>
        <v>2458438.6083827037</v>
      </c>
      <c r="D19" s="81">
        <f>Datos!D29</f>
        <v>1555740.1600000001</v>
      </c>
      <c r="E19" s="82">
        <f>Datos!E29</f>
        <v>0.63281635534655534</v>
      </c>
      <c r="F19" s="83">
        <f>Datos!G29</f>
        <v>28</v>
      </c>
      <c r="G19" s="83">
        <f>Datos!F29</f>
        <v>35</v>
      </c>
      <c r="H19" s="83">
        <f>Datos!I29</f>
        <v>7</v>
      </c>
      <c r="I19" s="98" t="str">
        <f>IF(Datos!E29&gt;=0.9,"🟢 EXCELENTE",IF(Datos!E29&gt;=0.7,"🟡 EN CAMINO",IF(Datos!E29&gt;=0.5,"🟠 ALERTA","🔴 CRÍTICO")))</f>
        <v>🟠 ALERTA</v>
      </c>
    </row>
    <row r="20" spans="2:9" ht="15.75" customHeight="1" x14ac:dyDescent="0.3">
      <c r="B20" s="74" t="str">
        <f>IF(ISNUMBER(VALUE(LEFT(Datos!B30,4))),MID(Datos!B30,6,100),Datos!B30)</f>
        <v xml:space="preserve"> JUAN CAMILO PITO</v>
      </c>
      <c r="C20" s="75">
        <f>Datos!C30</f>
        <v>2514139.0406630151</v>
      </c>
      <c r="D20" s="76">
        <f>Datos!D30</f>
        <v>2231832.08</v>
      </c>
      <c r="E20" s="77">
        <f>Datos!E30</f>
        <v>0.88771227203545333</v>
      </c>
      <c r="F20" s="78">
        <f>Datos!G30</f>
        <v>12</v>
      </c>
      <c r="G20" s="78">
        <f>Datos!F30</f>
        <v>25</v>
      </c>
      <c r="H20" s="78">
        <f>Datos!I30</f>
        <v>13</v>
      </c>
      <c r="I20" s="97" t="str">
        <f>IF(Datos!E30&gt;=0.9,"🟢 EXCELENTE",IF(Datos!E30&gt;=0.7,"🟡 EN CAMINO",IF(Datos!E30&gt;=0.5,"🟠 ALERTA","🔴 CRÍTICO")))</f>
        <v>🟡 EN CAMINO</v>
      </c>
    </row>
    <row r="21" spans="2:9" ht="15.75" customHeight="1" x14ac:dyDescent="0.3">
      <c r="B21" s="79" t="str">
        <f>IF(ISNUMBER(VALUE(LEFT(Datos!B31,4))),MID(Datos!B31,6,100),Datos!B31)</f>
        <v>VICTOR CIFUENTES</v>
      </c>
      <c r="C21" s="80">
        <f>Datos!C31</f>
        <v>2647652.6657314487</v>
      </c>
      <c r="D21" s="81">
        <f>Datos!D31</f>
        <v>1914240.2400000002</v>
      </c>
      <c r="E21" s="82">
        <f>Datos!E31</f>
        <v>0.72299522697066698</v>
      </c>
      <c r="F21" s="83">
        <f>Datos!G31</f>
        <v>31</v>
      </c>
      <c r="G21" s="83">
        <f>Datos!F31</f>
        <v>35</v>
      </c>
      <c r="H21" s="83">
        <f>Datos!I31</f>
        <v>4</v>
      </c>
      <c r="I21" s="98" t="str">
        <f>IF(Datos!E31&gt;=0.9,"🟢 EXCELENTE",IF(Datos!E31&gt;=0.7,"🟡 EN CAMINO",IF(Datos!E31&gt;=0.5,"🟠 ALERTA","🔴 CRÍTICO")))</f>
        <v>🟡 EN CAMINO</v>
      </c>
    </row>
    <row r="22" spans="2:9" ht="15.75" customHeight="1" x14ac:dyDescent="0.3">
      <c r="B22" s="74" t="str">
        <f>IF(ISNUMBER(VALUE(LEFT(Datos!B32,4))),MID(Datos!B32,6,100),Datos!B32)</f>
        <v>LAURA INES GARCIA</v>
      </c>
      <c r="C22" s="75">
        <f>Datos!C32</f>
        <v>2470680.7678319723</v>
      </c>
      <c r="D22" s="76">
        <f>Datos!D32</f>
        <v>2736334.38</v>
      </c>
      <c r="E22" s="77">
        <f>Datos!E32</f>
        <v>1.1075224349607655</v>
      </c>
      <c r="F22" s="78">
        <f>Datos!G32</f>
        <v>21</v>
      </c>
      <c r="G22" s="78">
        <f>Datos!F32</f>
        <v>35</v>
      </c>
      <c r="H22" s="78">
        <f>Datos!I32</f>
        <v>14</v>
      </c>
      <c r="I22" s="97" t="str">
        <f>IF(Datos!E32&gt;=0.9,"🟢 EXCELENTE",IF(Datos!E32&gt;=0.7,"🟡 EN CAMINO",IF(Datos!E32&gt;=0.5,"🟠 ALERTA","🔴 CRÍTICO")))</f>
        <v>🟢 EXCELENTE</v>
      </c>
    </row>
    <row r="23" spans="2:9" ht="15.75" customHeight="1" x14ac:dyDescent="0.3">
      <c r="B23" s="79" t="str">
        <f>IF(ISNUMBER(VALUE(LEFT(Datos!B33,4))),MID(Datos!B33,6,100),Datos!B33)</f>
        <v>MARIA CRISTINA DIAZ</v>
      </c>
      <c r="C23" s="80">
        <f>Datos!C33</f>
        <v>2270254.174878573</v>
      </c>
      <c r="D23" s="81">
        <f>Datos!D33</f>
        <v>3103013</v>
      </c>
      <c r="E23" s="82">
        <f>Datos!E33</f>
        <v>1.3668130354461161</v>
      </c>
      <c r="F23" s="83">
        <f>Datos!G33</f>
        <v>25</v>
      </c>
      <c r="G23" s="83">
        <f>Datos!F33</f>
        <v>25</v>
      </c>
      <c r="H23" s="83">
        <f>Datos!I33</f>
        <v>0</v>
      </c>
      <c r="I23" s="98" t="str">
        <f>IF(Datos!E33&gt;=0.9,"🟢 EXCELENTE",IF(Datos!E33&gt;=0.7,"🟡 EN CAMINO",IF(Datos!E33&gt;=0.5,"🟠 ALERTA","🔴 CRÍTICO")))</f>
        <v>🟢 EXCELENTE</v>
      </c>
    </row>
    <row r="24" spans="2:9" ht="15.75" customHeight="1" x14ac:dyDescent="0.3">
      <c r="B24" s="74" t="str">
        <f>IF(ISNUMBER(VALUE(LEFT(Datos!B34,4))),MID(Datos!B34,6,100),Datos!B34)</f>
        <v>DORIS ROSAS MONCADA</v>
      </c>
      <c r="C24" s="75">
        <f>Datos!C34</f>
        <v>2328805.5815734905</v>
      </c>
      <c r="D24" s="76">
        <f>Datos!D34</f>
        <v>1368875.08</v>
      </c>
      <c r="E24" s="77">
        <f>Datos!E34</f>
        <v>0.58780135655424715</v>
      </c>
      <c r="F24" s="78">
        <f>Datos!G34</f>
        <v>14</v>
      </c>
      <c r="G24" s="78">
        <f>Datos!F34</f>
        <v>35</v>
      </c>
      <c r="H24" s="78">
        <f>Datos!I34</f>
        <v>21</v>
      </c>
      <c r="I24" s="97" t="str">
        <f>IF(Datos!E34&gt;=0.9,"🟢 EXCELENTE",IF(Datos!E34&gt;=0.7,"🟡 EN CAMINO",IF(Datos!E34&gt;=0.5,"🟠 ALERTA","🔴 CRÍTICO")))</f>
        <v>🟠 ALERTA</v>
      </c>
    </row>
    <row r="25" spans="2:9" ht="15.75" customHeight="1" x14ac:dyDescent="0.3">
      <c r="B25" s="79" t="str">
        <f>IF(ISNUMBER(VALUE(LEFT(Datos!B35,4))),MID(Datos!B35,6,100),Datos!B35)</f>
        <v>FREYDER SEBASTIAN ROSERO GOMEZ</v>
      </c>
      <c r="C25" s="80">
        <f>Datos!C35</f>
        <v>1534766.8077266652</v>
      </c>
      <c r="D25" s="81">
        <f>Datos!D35</f>
        <v>1653649</v>
      </c>
      <c r="E25" s="82">
        <f>Datos!E35</f>
        <v>1.07745944965374</v>
      </c>
      <c r="F25" s="83">
        <f>Datos!G35</f>
        <v>23</v>
      </c>
      <c r="G25" s="83">
        <f>Datos!F35</f>
        <v>35</v>
      </c>
      <c r="H25" s="83">
        <f>Datos!I35</f>
        <v>12</v>
      </c>
      <c r="I25" s="98" t="str">
        <f>IF(Datos!E35&gt;=0.9,"🟢 EXCELENTE",IF(Datos!E35&gt;=0.7,"🟡 EN CAMINO",IF(Datos!E35&gt;=0.5,"🟠 ALERTA","🔴 CRÍTICO")))</f>
        <v>🟢 EXCELENTE</v>
      </c>
    </row>
    <row r="26" spans="2:9" ht="18" customHeight="1" x14ac:dyDescent="0.3">
      <c r="B26" s="84" t="s">
        <v>93</v>
      </c>
      <c r="C26" s="99">
        <f>Datos!C28+Datos!C29+Datos!C30+Datos!C31+Datos!C32+Datos!C33+Datos!C34+Datos!C35</f>
        <v>18844799.981347796</v>
      </c>
      <c r="D26" s="86">
        <f>Datos!D28+Datos!D29+Datos!D30+Datos!D31+Datos!D32+Datos!D33+Datos!D34+Datos!D35</f>
        <v>17110986.100000001</v>
      </c>
      <c r="E26" s="87">
        <f>D26/C26</f>
        <v>0.90799510299584563</v>
      </c>
      <c r="F26" s="99">
        <f>Datos!G28+Datos!G29+Datos!G30+Datos!G31+Datos!G32+Datos!G33+Datos!G34+Datos!G35</f>
        <v>173</v>
      </c>
      <c r="G26" s="99">
        <f>Datos!F28+Datos!F29+Datos!F30+Datos!F31+Datos!F32+Datos!F33+Datos!F34+Datos!F35</f>
        <v>260</v>
      </c>
      <c r="H26" s="88">
        <f>SUM(H18:H25)</f>
        <v>87</v>
      </c>
      <c r="I26" s="87">
        <f>F26/G26</f>
        <v>0.66538461538461535</v>
      </c>
    </row>
    <row r="27" spans="2:9" ht="7.5" customHeight="1" x14ac:dyDescent="0.3"/>
    <row r="28" spans="2:9" ht="18" customHeight="1" x14ac:dyDescent="0.3">
      <c r="B28" s="159" t="s">
        <v>109</v>
      </c>
      <c r="C28" s="138"/>
      <c r="D28" s="138"/>
      <c r="E28" s="138"/>
      <c r="F28" s="138"/>
      <c r="G28" s="138"/>
      <c r="H28" s="138"/>
      <c r="I28" s="138"/>
    </row>
    <row r="29" spans="2:9" ht="15.75" customHeight="1" x14ac:dyDescent="0.3">
      <c r="B29" s="157" t="str">
        <f>"▶ Venta del día en progreso: "&amp;TEXT((Datos!D28+Datos!D29+Datos!D30+Datos!D31+Datos!D32+Datos!D33+Datos!D34+Datos!D35)/(Datos!C28+Datos!C29+Datos!C30+Datos!C31+Datos!C32+Datos!C33+Datos!C34+Datos!C35),"0.0%")&amp;" del presupuesto."</f>
        <v>▶ Venta del día en progreso: 90.8% del presupuesto.</v>
      </c>
      <c r="C29" s="138"/>
      <c r="D29" s="138"/>
      <c r="E29" s="138"/>
      <c r="F29" s="138"/>
      <c r="G29" s="138"/>
      <c r="H29" s="138"/>
      <c r="I29" s="138"/>
    </row>
    <row r="30" spans="2:9" ht="15.75" customHeight="1" x14ac:dyDescent="0.3">
      <c r="B30" s="154" t="str">
        <f>IF(COUNTIF(Datos!H28:H35,"&gt;="&amp;1)=8,"✔ "&amp;8&amp;" de 8 asesores cumplen meta. Excedente de "&amp;ABS((Datos!G28+Datos!G29+Datos!G30+Datos!G31+Datos!G32+Datos!G33+Datos!G34+Datos!G35)-(Datos!F28+Datos!F29+Datos!F30+Datos!F31+Datos!F32+Datos!F33+Datos!F34+Datos!F35))&amp;" pedidos sobre el objetivo.","▶ "&amp;COUNTIF(Datos!H28:H35,"&gt;="&amp;1)&amp;" de 8 asesores cumplen meta. Pendiente cerrar "&amp;MAX(0,(Datos!F28+Datos!F29+Datos!F30+Datos!F31+Datos!F32+Datos!F33+Datos!F34+Datos!F35)-(Datos!G28+Datos!G29+Datos!G30+Datos!G31+Datos!G32+Datos!G33+Datos!G34+Datos!G35))&amp;" pedidos.")</f>
        <v>▶ 1 de 8 asesores cumplen meta. Pendiente cerrar 87 pedidos.</v>
      </c>
      <c r="C30" s="138"/>
      <c r="D30" s="138"/>
      <c r="E30" s="138"/>
      <c r="F30" s="138"/>
      <c r="G30" s="138"/>
      <c r="H30" s="138"/>
      <c r="I30" s="138"/>
    </row>
    <row r="31" spans="2:9" ht="15.75" customHeight="1" x14ac:dyDescent="0.3">
      <c r="B31" s="157" t="str">
        <f>"★ Mejor asesor: "&amp;IF(ISNUMBER(VALUE(LEFT(INDEX(Datos!B28:B35,MATCH(MAX(Datos!D28:D35),Datos!D28:D35,0)),4))),MID(INDEX(Datos!B28:B35,MATCH(MAX(Datos!D28:D35),Datos!D28:D35,0)),6,100),INDEX(Datos!B28:B35,MATCH(MAX(Datos!D28:D35),Datos!D28:D35,0)))&amp;" con "&amp;TEXT(MAX(Datos!D28:D35),"$#,##0")&amp;" y "&amp;INDEX(Datos!G28:G35,MATCH(MAX(Datos!D28:D35),Datos!D28:D35,0))&amp;" facturas."</f>
        <v>★ Mejor asesor: MARIA CRISTINA DIAZ con $3,103,013 y 25 facturas.</v>
      </c>
      <c r="C31" s="138"/>
      <c r="D31" s="138"/>
      <c r="E31" s="138"/>
      <c r="F31" s="138"/>
      <c r="G31" s="138"/>
      <c r="H31" s="138"/>
      <c r="I31" s="138"/>
    </row>
    <row r="32" spans="2:9" ht="15.75" customHeight="1" x14ac:dyDescent="0.3">
      <c r="B32" s="154" t="str">
        <f>"⚠ Asesor con menor venta: "&amp;IF(ISNUMBER(VALUE(LEFT(INDEX(Datos!B28:B35,MATCH(MIN(Datos!D28:D35),Datos!D28:D35,0)),4))),MID(INDEX(Datos!B28:B35,MATCH(MIN(Datos!D28:D35),Datos!D28:D35,0)),6,100),INDEX(Datos!B28:B35,MATCH(MIN(Datos!D28:D35),Datos!D28:D35,0)))&amp;" con "&amp;TEXT(MIN(Datos!D28:D35),"$#,##0")&amp;" ("&amp;TEXT(MIN(Datos!E28:E35),"0.0%")&amp;" del ppto)."</f>
        <v>⚠ Asesor con menor venta: DORIS ROSAS MONCADA con $1,368,875 (58.8% del ppto).</v>
      </c>
      <c r="C32" s="138"/>
      <c r="D32" s="138"/>
      <c r="E32" s="138"/>
      <c r="F32" s="138"/>
      <c r="G32" s="138"/>
      <c r="H32" s="138"/>
      <c r="I32" s="138"/>
    </row>
  </sheetData>
  <mergeCells count="24">
    <mergeCell ref="B30:I30"/>
    <mergeCell ref="D6:E6"/>
    <mergeCell ref="F7:G9"/>
    <mergeCell ref="B12:C14"/>
    <mergeCell ref="H6:I6"/>
    <mergeCell ref="B11:C11"/>
    <mergeCell ref="D11:E11"/>
    <mergeCell ref="F12:G14"/>
    <mergeCell ref="B32:I32"/>
    <mergeCell ref="B4:I4"/>
    <mergeCell ref="B1:I3"/>
    <mergeCell ref="H11:I11"/>
    <mergeCell ref="B29:I29"/>
    <mergeCell ref="D7:E9"/>
    <mergeCell ref="B28:I28"/>
    <mergeCell ref="B6:C6"/>
    <mergeCell ref="H7:I9"/>
    <mergeCell ref="D12:E14"/>
    <mergeCell ref="H12:I14"/>
    <mergeCell ref="F11:G11"/>
    <mergeCell ref="B16:I16"/>
    <mergeCell ref="B7:C9"/>
    <mergeCell ref="F6:G6"/>
    <mergeCell ref="B31:I3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I26"/>
  <sheetViews>
    <sheetView workbookViewId="0">
      <selection activeCell="B1" sqref="B1:I19"/>
    </sheetView>
  </sheetViews>
  <sheetFormatPr baseColWidth="10" defaultColWidth="8.88671875" defaultRowHeight="14.4" x14ac:dyDescent="0.3"/>
  <cols>
    <col min="1" max="1" width="3" customWidth="1"/>
    <col min="2" max="2" width="30" customWidth="1"/>
    <col min="3" max="4" width="16" customWidth="1"/>
    <col min="5" max="5" width="15" customWidth="1"/>
    <col min="6" max="6" width="13" customWidth="1"/>
    <col min="7" max="7" width="12" customWidth="1"/>
    <col min="8" max="8" width="14" customWidth="1"/>
    <col min="9" max="9" width="13" customWidth="1"/>
    <col min="10" max="10" width="3" customWidth="1"/>
  </cols>
  <sheetData>
    <row r="1" spans="2:9" ht="12" customHeight="1" x14ac:dyDescent="0.3">
      <c r="B1" s="155" t="s">
        <v>116</v>
      </c>
      <c r="C1" s="138"/>
      <c r="D1" s="138"/>
      <c r="E1" s="138"/>
      <c r="F1" s="138"/>
      <c r="G1" s="138"/>
      <c r="H1" s="138"/>
      <c r="I1" s="138"/>
    </row>
    <row r="2" spans="2:9" ht="21.75" customHeight="1" x14ac:dyDescent="0.3">
      <c r="B2" s="138"/>
      <c r="C2" s="138"/>
      <c r="D2" s="138"/>
      <c r="E2" s="138"/>
      <c r="F2" s="138"/>
      <c r="G2" s="138"/>
      <c r="H2" s="138"/>
      <c r="I2" s="138"/>
    </row>
    <row r="3" spans="2:9" ht="12" customHeight="1" x14ac:dyDescent="0.3">
      <c r="B3" s="138"/>
      <c r="C3" s="138"/>
      <c r="D3" s="138"/>
      <c r="E3" s="138"/>
      <c r="F3" s="138"/>
      <c r="G3" s="138"/>
      <c r="H3" s="138"/>
      <c r="I3" s="138"/>
    </row>
    <row r="4" spans="2:9" ht="18" customHeight="1" x14ac:dyDescent="0.3">
      <c r="B4" s="153" t="s">
        <v>117</v>
      </c>
      <c r="C4" s="138"/>
      <c r="D4" s="138"/>
      <c r="E4" s="138"/>
      <c r="F4" s="138"/>
      <c r="G4" s="138"/>
      <c r="H4" s="138"/>
      <c r="I4" s="138"/>
    </row>
    <row r="5" spans="2:9" ht="7.5" customHeight="1" x14ac:dyDescent="0.3"/>
    <row r="6" spans="2:9" ht="18" customHeight="1" x14ac:dyDescent="0.3">
      <c r="B6" s="156" t="s">
        <v>100</v>
      </c>
      <c r="C6" s="138"/>
      <c r="D6" s="156" t="s">
        <v>66</v>
      </c>
      <c r="E6" s="138"/>
      <c r="F6" s="167" t="s">
        <v>101</v>
      </c>
      <c r="G6" s="138"/>
      <c r="H6" s="170" t="s">
        <v>102</v>
      </c>
      <c r="I6" s="138"/>
    </row>
    <row r="7" spans="2:9" ht="18" customHeight="1" x14ac:dyDescent="0.3">
      <c r="B7" s="158" t="e">
        <f>TEXT((Datos!D36+Datos!#REF!)/1000000,"$#,##0.00")&amp;"M"</f>
        <v>#REF!</v>
      </c>
      <c r="C7" s="138"/>
      <c r="D7" s="158" t="e">
        <f>TEXT((Datos!C36+Datos!#REF!)/1000000,"$#,##0.00")&amp;"M"</f>
        <v>#REF!</v>
      </c>
      <c r="E7" s="138"/>
      <c r="F7" s="168" t="e">
        <f>TEXT((Datos!D36+Datos!#REF!)/(Datos!C36+Datos!#REF!),"0.0%")</f>
        <v>#REF!</v>
      </c>
      <c r="G7" s="138"/>
      <c r="H7" s="161" t="e">
        <f>TEXT((Datos!G36+Datos!#REF!)/(Datos!F36+Datos!#REF!),"0.0%")</f>
        <v>#REF!</v>
      </c>
      <c r="I7" s="138"/>
    </row>
    <row r="8" spans="2:9" ht="18" customHeight="1" x14ac:dyDescent="0.3">
      <c r="B8" s="138"/>
      <c r="C8" s="138"/>
      <c r="D8" s="138"/>
      <c r="E8" s="138"/>
      <c r="F8" s="138"/>
      <c r="G8" s="138"/>
      <c r="H8" s="138"/>
      <c r="I8" s="138"/>
    </row>
    <row r="9" spans="2:9" ht="18" customHeight="1" x14ac:dyDescent="0.3">
      <c r="B9" s="138"/>
      <c r="C9" s="138"/>
      <c r="D9" s="138"/>
      <c r="E9" s="138"/>
      <c r="F9" s="138"/>
      <c r="G9" s="138"/>
      <c r="H9" s="138"/>
      <c r="I9" s="138"/>
    </row>
    <row r="10" spans="2:9" ht="7.5" customHeight="1" x14ac:dyDescent="0.3"/>
    <row r="11" spans="2:9" ht="18" customHeight="1" x14ac:dyDescent="0.3">
      <c r="B11" s="171" t="s">
        <v>103</v>
      </c>
      <c r="C11" s="138"/>
      <c r="D11" s="167" t="s">
        <v>104</v>
      </c>
      <c r="E11" s="138"/>
      <c r="F11" s="181" t="s">
        <v>105</v>
      </c>
      <c r="G11" s="138"/>
      <c r="H11" s="156" t="s">
        <v>106</v>
      </c>
      <c r="I11" s="138"/>
    </row>
    <row r="12" spans="2:9" ht="18" customHeight="1" x14ac:dyDescent="0.3">
      <c r="B12" s="169" t="e">
        <f>TEXT(Datos!G36+Datos!#REF!,"0")&amp;" / "&amp;TEXT(Datos!F36+Datos!#REF!,"0")</f>
        <v>#REF!</v>
      </c>
      <c r="C12" s="138"/>
      <c r="D12" s="162" t="str">
        <f>TEXT(COUNTIF(Datos!H36:H36,"&gt;="&amp;1),"0")&amp;" / "&amp;"2"</f>
        <v>0 / 2</v>
      </c>
      <c r="E12" s="138"/>
      <c r="F12" s="183" t="str">
        <f>IF(ISNUMBER(VALUE(LEFT(INDEX(Datos!B36:B36,MATCH(MAX(Datos!D36:D36),Datos!D36:D36,0)),4))),MID(INDEX(Datos!B36:B36,MATCH(MAX(Datos!D36:D36),Datos!D36:D36,0)),6,100),INDEX(Datos!B36:B36,MATCH(MAX(Datos!D36:D36),Datos!D36:D36,0)))</f>
        <v>ANDERSON PAJOY</v>
      </c>
      <c r="G12" s="138"/>
      <c r="H12" s="163" t="e">
        <f>TEXT(ABS(Datos!F36+Datos!#REF!-Datos!G36+Datos!#REF!),"0")&amp;IF(Datos!G36+Datos!#REF!&gt;=Datos!F36+Datos!#REF!," excedente"," pedidos")</f>
        <v>#REF!</v>
      </c>
      <c r="I12" s="138"/>
    </row>
    <row r="13" spans="2:9" ht="18" customHeight="1" x14ac:dyDescent="0.3">
      <c r="B13" s="138"/>
      <c r="C13" s="138"/>
      <c r="D13" s="138"/>
      <c r="E13" s="138"/>
      <c r="F13" s="138"/>
      <c r="G13" s="138"/>
      <c r="H13" s="138"/>
      <c r="I13" s="138"/>
    </row>
    <row r="14" spans="2:9" ht="18" customHeight="1" x14ac:dyDescent="0.3">
      <c r="B14" s="138"/>
      <c r="C14" s="138"/>
      <c r="D14" s="138"/>
      <c r="E14" s="138"/>
      <c r="F14" s="138"/>
      <c r="G14" s="138"/>
      <c r="H14" s="138"/>
      <c r="I14" s="138"/>
    </row>
    <row r="15" spans="2:9" ht="7.5" customHeight="1" x14ac:dyDescent="0.3"/>
    <row r="16" spans="2:9" ht="19.5" customHeight="1" x14ac:dyDescent="0.3">
      <c r="B16" s="182" t="s">
        <v>118</v>
      </c>
      <c r="C16" s="138"/>
      <c r="D16" s="138"/>
      <c r="E16" s="138"/>
      <c r="F16" s="138"/>
      <c r="G16" s="138"/>
      <c r="H16" s="138"/>
      <c r="I16" s="138"/>
    </row>
    <row r="17" spans="2:9" ht="19.5" customHeight="1" x14ac:dyDescent="0.3">
      <c r="B17" s="96" t="s">
        <v>1</v>
      </c>
      <c r="C17" s="96" t="s">
        <v>86</v>
      </c>
      <c r="D17" s="96" t="s">
        <v>87</v>
      </c>
      <c r="E17" s="96" t="s">
        <v>77</v>
      </c>
      <c r="F17" s="96" t="s">
        <v>88</v>
      </c>
      <c r="G17" s="96" t="s">
        <v>79</v>
      </c>
      <c r="H17" s="96" t="s">
        <v>89</v>
      </c>
      <c r="I17" s="96" t="s">
        <v>108</v>
      </c>
    </row>
    <row r="18" spans="2:9" ht="15.75" customHeight="1" x14ac:dyDescent="0.3">
      <c r="B18" s="74" t="str">
        <f>IF(ISNUMBER(VALUE(LEFT(Datos!B36,4))),MID(Datos!B36,6,100),Datos!B36)</f>
        <v>ANDERSON PAJOY</v>
      </c>
      <c r="C18" s="75">
        <f>Datos!C36</f>
        <v>14768000</v>
      </c>
      <c r="D18" s="76">
        <f>Datos!D36</f>
        <v>18151560.84</v>
      </c>
      <c r="E18" s="77">
        <f>Datos!E36</f>
        <v>1.229114358071506</v>
      </c>
      <c r="F18" s="78">
        <f>Datos!G36</f>
        <v>4</v>
      </c>
      <c r="G18" s="78">
        <f>Datos!F36</f>
        <v>10</v>
      </c>
      <c r="H18" s="78">
        <f>Datos!I36</f>
        <v>6</v>
      </c>
      <c r="I18" s="97" t="str">
        <f>IF(Datos!E36&gt;=0.9,"🟢 EXCELENTE",IF(Datos!E36&gt;=0.7,"🟡 EN CAMINO",IF(Datos!E36&gt;=0.5,"🟠 ALERTA","🔴 CRÍTICO")))</f>
        <v>🟢 EXCELENTE</v>
      </c>
    </row>
    <row r="19" spans="2:9" ht="15.75" customHeight="1" x14ac:dyDescent="0.3">
      <c r="B19" s="79" t="e">
        <f>IF(ISNUMBER(VALUE(LEFT(Datos!#REF!,4))),MID(Datos!#REF!,6,100),Datos!#REF!)</f>
        <v>#REF!</v>
      </c>
      <c r="C19" s="80" t="e">
        <f>Datos!#REF!</f>
        <v>#REF!</v>
      </c>
      <c r="D19" s="81" t="e">
        <f>Datos!#REF!</f>
        <v>#REF!</v>
      </c>
      <c r="E19" s="82" t="e">
        <f>Datos!#REF!</f>
        <v>#REF!</v>
      </c>
      <c r="F19" s="83" t="e">
        <f>Datos!#REF!</f>
        <v>#REF!</v>
      </c>
      <c r="G19" s="83" t="e">
        <f>Datos!#REF!</f>
        <v>#REF!</v>
      </c>
      <c r="H19" s="83" t="e">
        <f>Datos!#REF!</f>
        <v>#REF!</v>
      </c>
      <c r="I19" s="98" t="e">
        <f>IF(Datos!#REF!&gt;=0.9,"🟢 EXCELENTE",IF(Datos!#REF!&gt;=0.7,"🟡 EN CAMINO",IF(Datos!#REF!&gt;=0.5,"🟠 ALERTA","🔴 CRÍTICO")))</f>
        <v>#REF!</v>
      </c>
    </row>
    <row r="20" spans="2:9" ht="18" customHeight="1" x14ac:dyDescent="0.3">
      <c r="B20" s="84" t="s">
        <v>94</v>
      </c>
      <c r="C20" s="99" t="e">
        <f>Datos!C36+Datos!#REF!</f>
        <v>#REF!</v>
      </c>
      <c r="D20" s="86" t="e">
        <f>Datos!D36+Datos!#REF!</f>
        <v>#REF!</v>
      </c>
      <c r="E20" s="87" t="e">
        <f>D20/C20</f>
        <v>#REF!</v>
      </c>
      <c r="F20" s="99" t="e">
        <f>Datos!G36+Datos!#REF!</f>
        <v>#REF!</v>
      </c>
      <c r="G20" s="99" t="e">
        <f>Datos!F36+Datos!#REF!</f>
        <v>#REF!</v>
      </c>
      <c r="H20" s="88" t="e">
        <f>SUM(H18:H19)</f>
        <v>#REF!</v>
      </c>
      <c r="I20" s="87" t="e">
        <f>F20/G20</f>
        <v>#REF!</v>
      </c>
    </row>
    <row r="21" spans="2:9" ht="7.5" customHeight="1" x14ac:dyDescent="0.3"/>
    <row r="22" spans="2:9" ht="18" customHeight="1" x14ac:dyDescent="0.3">
      <c r="B22" s="159" t="s">
        <v>109</v>
      </c>
      <c r="C22" s="138"/>
      <c r="D22" s="138"/>
      <c r="E22" s="138"/>
      <c r="F22" s="138"/>
      <c r="G22" s="138"/>
      <c r="H22" s="138"/>
      <c r="I22" s="138"/>
    </row>
    <row r="23" spans="2:9" ht="15.75" customHeight="1" x14ac:dyDescent="0.3">
      <c r="B23" s="157" t="e">
        <f>"▶ Venta del día en progreso: "&amp;TEXT((Datos!D36+Datos!#REF!)/(Datos!C36+Datos!#REF!),"0.0%")&amp;" del presupuesto."</f>
        <v>#REF!</v>
      </c>
      <c r="C23" s="138"/>
      <c r="D23" s="138"/>
      <c r="E23" s="138"/>
      <c r="F23" s="138"/>
      <c r="G23" s="138"/>
      <c r="H23" s="138"/>
      <c r="I23" s="138"/>
    </row>
    <row r="24" spans="2:9" ht="15.75" customHeight="1" x14ac:dyDescent="0.3">
      <c r="B24" s="154" t="e">
        <f>IF(COUNTIF(Datos!H36:H36,"&gt;="&amp;1)=2,"✔ "&amp;2&amp;" de 2 asesores cumplen meta. Excedente de "&amp;ABS((Datos!G36+Datos!#REF!)-(Datos!F36+Datos!#REF!))&amp;" pedidos sobre el objetivo.","▶ "&amp;COUNTIF(Datos!H36:H36,"&gt;="&amp;1)&amp;" de 2 asesores cumplen meta. Pendiente cerrar "&amp;MAX(0,(Datos!F36+Datos!#REF!)-(Datos!G36+Datos!#REF!))&amp;" pedidos.")</f>
        <v>#REF!</v>
      </c>
      <c r="C24" s="138"/>
      <c r="D24" s="138"/>
      <c r="E24" s="138"/>
      <c r="F24" s="138"/>
      <c r="G24" s="138"/>
      <c r="H24" s="138"/>
      <c r="I24" s="138"/>
    </row>
    <row r="25" spans="2:9" ht="15.75" customHeight="1" x14ac:dyDescent="0.3">
      <c r="B25" s="157" t="str">
        <f>"★ Mejor asesor: "&amp;IF(ISNUMBER(VALUE(LEFT(INDEX(Datos!B36:B36,MATCH(MAX(Datos!D36:D36),Datos!D36:D36,0)),4))),MID(INDEX(Datos!B36:B36,MATCH(MAX(Datos!D36:D36),Datos!D36:D36,0)),6,100),INDEX(Datos!B36:B36,MATCH(MAX(Datos!D36:D36),Datos!D36:D36,0)))&amp;" con "&amp;TEXT(MAX(Datos!D36:D36),"$#,##0")&amp;" y "&amp;INDEX(Datos!G36:G36,MATCH(MAX(Datos!D36:D36),Datos!D36:D36,0))&amp;" facturas."</f>
        <v>★ Mejor asesor: ANDERSON PAJOY con $18,151,561 y 4 facturas.</v>
      </c>
      <c r="C25" s="138"/>
      <c r="D25" s="138"/>
      <c r="E25" s="138"/>
      <c r="F25" s="138"/>
      <c r="G25" s="138"/>
      <c r="H25" s="138"/>
      <c r="I25" s="138"/>
    </row>
    <row r="26" spans="2:9" ht="15.75" customHeight="1" x14ac:dyDescent="0.3">
      <c r="B26" s="154" t="str">
        <f>"⚠ Asesor con menor venta: "&amp;IF(ISNUMBER(VALUE(LEFT(INDEX(Datos!B36:B36,MATCH(MIN(Datos!D36:D36),Datos!D36:D36,0)),4))),MID(INDEX(Datos!B36:B36,MATCH(MIN(Datos!D36:D36),Datos!D36:D36,0)),6,100),INDEX(Datos!B36:B36,MATCH(MIN(Datos!D36:D36),Datos!D36:D36,0)))&amp;" con "&amp;TEXT(MIN(Datos!D36:D36),"$#,##0")&amp;" ("&amp;TEXT(MIN(Datos!E36:E36),"0.0%")&amp;" del ppto)."</f>
        <v>⚠ Asesor con menor venta: ANDERSON PAJOY con $18,151,561 (122.9% del ppto).</v>
      </c>
      <c r="C26" s="138"/>
      <c r="D26" s="138"/>
      <c r="E26" s="138"/>
      <c r="F26" s="138"/>
      <c r="G26" s="138"/>
      <c r="H26" s="138"/>
      <c r="I26" s="138"/>
    </row>
  </sheetData>
  <mergeCells count="24">
    <mergeCell ref="B12:C14"/>
    <mergeCell ref="H6:I6"/>
    <mergeCell ref="B11:C11"/>
    <mergeCell ref="D11:E11"/>
    <mergeCell ref="B23:I23"/>
    <mergeCell ref="F12:G14"/>
    <mergeCell ref="D12:E14"/>
    <mergeCell ref="H12:I14"/>
    <mergeCell ref="B4:I4"/>
    <mergeCell ref="B26:I26"/>
    <mergeCell ref="B1:I3"/>
    <mergeCell ref="H11:I11"/>
    <mergeCell ref="D7:E9"/>
    <mergeCell ref="B6:C6"/>
    <mergeCell ref="H7:I9"/>
    <mergeCell ref="F11:G11"/>
    <mergeCell ref="B25:I25"/>
    <mergeCell ref="B16:I16"/>
    <mergeCell ref="B7:C9"/>
    <mergeCell ref="F6:G6"/>
    <mergeCell ref="B22:I22"/>
    <mergeCell ref="D6:E6"/>
    <mergeCell ref="F7:G9"/>
    <mergeCell ref="B24:I2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I32"/>
  <sheetViews>
    <sheetView workbookViewId="0">
      <selection activeCell="B1" sqref="B1:I27"/>
    </sheetView>
  </sheetViews>
  <sheetFormatPr baseColWidth="10" defaultColWidth="8.88671875" defaultRowHeight="14.4" x14ac:dyDescent="0.3"/>
  <cols>
    <col min="1" max="1" width="3" customWidth="1"/>
    <col min="2" max="2" width="30" customWidth="1"/>
    <col min="3" max="4" width="16" customWidth="1"/>
    <col min="5" max="5" width="15" customWidth="1"/>
    <col min="6" max="6" width="13" customWidth="1"/>
    <col min="7" max="7" width="12" customWidth="1"/>
    <col min="8" max="8" width="14" customWidth="1"/>
    <col min="9" max="9" width="13" customWidth="1"/>
    <col min="10" max="10" width="3" customWidth="1"/>
  </cols>
  <sheetData>
    <row r="1" spans="2:9" ht="12" customHeight="1" x14ac:dyDescent="0.3">
      <c r="B1" s="155" t="s">
        <v>119</v>
      </c>
      <c r="C1" s="138"/>
      <c r="D1" s="138"/>
      <c r="E1" s="138"/>
      <c r="F1" s="138"/>
      <c r="G1" s="138"/>
      <c r="H1" s="138"/>
      <c r="I1" s="138"/>
    </row>
    <row r="2" spans="2:9" ht="21.75" customHeight="1" x14ac:dyDescent="0.3">
      <c r="B2" s="138"/>
      <c r="C2" s="138"/>
      <c r="D2" s="138"/>
      <c r="E2" s="138"/>
      <c r="F2" s="138"/>
      <c r="G2" s="138"/>
      <c r="H2" s="138"/>
      <c r="I2" s="138"/>
    </row>
    <row r="3" spans="2:9" ht="12" customHeight="1" x14ac:dyDescent="0.3">
      <c r="B3" s="138"/>
      <c r="C3" s="138"/>
      <c r="D3" s="138"/>
      <c r="E3" s="138"/>
      <c r="F3" s="138"/>
      <c r="G3" s="138"/>
      <c r="H3" s="138"/>
      <c r="I3" s="138"/>
    </row>
    <row r="4" spans="2:9" ht="18" customHeight="1" x14ac:dyDescent="0.3">
      <c r="B4" s="153" t="s">
        <v>99</v>
      </c>
      <c r="C4" s="138"/>
      <c r="D4" s="138"/>
      <c r="E4" s="138"/>
      <c r="F4" s="138"/>
      <c r="G4" s="138"/>
      <c r="H4" s="138"/>
      <c r="I4" s="138"/>
    </row>
    <row r="5" spans="2:9" ht="7.5" customHeight="1" x14ac:dyDescent="0.3"/>
    <row r="6" spans="2:9" ht="18" customHeight="1" x14ac:dyDescent="0.3">
      <c r="B6" s="184" t="s">
        <v>100</v>
      </c>
      <c r="C6" s="138"/>
      <c r="D6" s="156" t="s">
        <v>66</v>
      </c>
      <c r="E6" s="138"/>
      <c r="F6" s="167" t="s">
        <v>101</v>
      </c>
      <c r="G6" s="138"/>
      <c r="H6" s="170" t="s">
        <v>102</v>
      </c>
      <c r="I6" s="138"/>
    </row>
    <row r="7" spans="2:9" ht="18" customHeight="1" x14ac:dyDescent="0.3">
      <c r="B7" s="187" t="str">
        <f>TEXT((Datos!D37+Datos!D38+Datos!D39+Datos!D40+Datos!D41+Datos!D42+Datos!D43+Datos!D44)/1000000,"$#,##0.00")&amp;"M"</f>
        <v>$7.67M</v>
      </c>
      <c r="C7" s="138"/>
      <c r="D7" s="158" t="str">
        <f>TEXT((Datos!C37+Datos!C38+Datos!C39+Datos!C40+Datos!C41+Datos!C42+Datos!C43+Datos!C44)/1000000,"$#,##0.00")&amp;"M"</f>
        <v>$6.25M</v>
      </c>
      <c r="E7" s="138"/>
      <c r="F7" s="168" t="str">
        <f>TEXT((Datos!D37+Datos!D38+Datos!D39+Datos!D40+Datos!D41+Datos!D42+Datos!D43+Datos!D44)/(Datos!C37+Datos!C38+Datos!C39+Datos!C40+Datos!C41+Datos!C42+Datos!C43+Datos!C44),"0.0%")</f>
        <v>122.6%</v>
      </c>
      <c r="G7" s="138"/>
      <c r="H7" s="161" t="str">
        <f>TEXT((Datos!G37+Datos!G38+Datos!G39+Datos!G40+Datos!G41+Datos!G42+Datos!G43+Datos!G44)/(Datos!F37+Datos!F38+Datos!F39+Datos!F40+Datos!F41+Datos!F42+Datos!F43+Datos!F44),"0.0%")</f>
        <v>56.3%</v>
      </c>
      <c r="I7" s="138"/>
    </row>
    <row r="8" spans="2:9" ht="18" customHeight="1" x14ac:dyDescent="0.3">
      <c r="B8" s="138"/>
      <c r="C8" s="138"/>
      <c r="D8" s="138"/>
      <c r="E8" s="138"/>
      <c r="F8" s="138"/>
      <c r="G8" s="138"/>
      <c r="H8" s="138"/>
      <c r="I8" s="138"/>
    </row>
    <row r="9" spans="2:9" ht="18" customHeight="1" x14ac:dyDescent="0.3">
      <c r="B9" s="138"/>
      <c r="C9" s="138"/>
      <c r="D9" s="138"/>
      <c r="E9" s="138"/>
      <c r="F9" s="138"/>
      <c r="G9" s="138"/>
      <c r="H9" s="138"/>
      <c r="I9" s="138"/>
    </row>
    <row r="10" spans="2:9" ht="7.5" customHeight="1" x14ac:dyDescent="0.3"/>
    <row r="11" spans="2:9" ht="18" customHeight="1" x14ac:dyDescent="0.3">
      <c r="B11" s="171" t="s">
        <v>103</v>
      </c>
      <c r="C11" s="138"/>
      <c r="D11" s="167" t="s">
        <v>104</v>
      </c>
      <c r="E11" s="138"/>
      <c r="F11" s="185" t="s">
        <v>105</v>
      </c>
      <c r="G11" s="138"/>
      <c r="H11" s="156" t="s">
        <v>106</v>
      </c>
      <c r="I11" s="138"/>
    </row>
    <row r="12" spans="2:9" ht="18" customHeight="1" x14ac:dyDescent="0.3">
      <c r="B12" s="169" t="str">
        <f>TEXT(Datos!G37+Datos!G38+Datos!G39+Datos!G40+Datos!G41+Datos!G42+Datos!G43+Datos!G44,"0")&amp;" / "&amp;TEXT(Datos!F37+Datos!F38+Datos!F39+Datos!F40+Datos!F41+Datos!F42+Datos!F43+Datos!F44,"0")</f>
        <v>107 / 190</v>
      </c>
      <c r="C12" s="138"/>
      <c r="D12" s="162" t="str">
        <f>TEXT(COUNTIF(Datos!H37:H44,"&gt;="&amp;1),"0")&amp;" / "&amp;"8"</f>
        <v>1 / 8</v>
      </c>
      <c r="E12" s="138"/>
      <c r="F12" s="188" t="str">
        <f>IF(ISNUMBER(VALUE(LEFT(INDEX(Datos!B37:B44,MATCH(MAX(Datos!D37:D44),Datos!D37:D44,0)),4))),MID(INDEX(Datos!B37:B44,MATCH(MAX(Datos!D37:D44),Datos!D37:D44,0)),6,100),INDEX(Datos!B37:B44,MATCH(MAX(Datos!D37:D44),Datos!D37:D44,0)))</f>
        <v>JUAN CARLOS MORALES</v>
      </c>
      <c r="G12" s="138"/>
      <c r="H12" s="163" t="str">
        <f>TEXT(ABS(Datos!F37+Datos!F38+Datos!F39+Datos!F40+Datos!F41+Datos!F42+Datos!F43+Datos!F44-Datos!G37+Datos!G38+Datos!G39+Datos!G40+Datos!G41+Datos!G42+Datos!G43+Datos!G44),"0")&amp;IF(Datos!G37+Datos!G38+Datos!G39+Datos!G40+Datos!G41+Datos!G42+Datos!G43+Datos!G44&gt;=Datos!F37+Datos!F38+Datos!F39+Datos!F40+Datos!F41+Datos!F42+Datos!F43+Datos!F44," excedente"," pedidos")</f>
        <v>269 pedidos</v>
      </c>
      <c r="I12" s="138"/>
    </row>
    <row r="13" spans="2:9" ht="18" customHeight="1" x14ac:dyDescent="0.3">
      <c r="B13" s="138"/>
      <c r="C13" s="138"/>
      <c r="D13" s="138"/>
      <c r="E13" s="138"/>
      <c r="F13" s="138"/>
      <c r="G13" s="138"/>
      <c r="H13" s="138"/>
      <c r="I13" s="138"/>
    </row>
    <row r="14" spans="2:9" ht="18" customHeight="1" x14ac:dyDescent="0.3">
      <c r="B14" s="138"/>
      <c r="C14" s="138"/>
      <c r="D14" s="138"/>
      <c r="E14" s="138"/>
      <c r="F14" s="138"/>
      <c r="G14" s="138"/>
      <c r="H14" s="138"/>
      <c r="I14" s="138"/>
    </row>
    <row r="15" spans="2:9" ht="7.5" customHeight="1" x14ac:dyDescent="0.3"/>
    <row r="16" spans="2:9" ht="19.5" customHeight="1" x14ac:dyDescent="0.3">
      <c r="B16" s="186" t="s">
        <v>120</v>
      </c>
      <c r="C16" s="138"/>
      <c r="D16" s="138"/>
      <c r="E16" s="138"/>
      <c r="F16" s="138"/>
      <c r="G16" s="138"/>
      <c r="H16" s="138"/>
      <c r="I16" s="138"/>
    </row>
    <row r="17" spans="2:9" ht="19.5" customHeight="1" x14ac:dyDescent="0.3">
      <c r="B17" s="96" t="s">
        <v>1</v>
      </c>
      <c r="C17" s="96" t="s">
        <v>86</v>
      </c>
      <c r="D17" s="96" t="s">
        <v>87</v>
      </c>
      <c r="E17" s="96" t="s">
        <v>77</v>
      </c>
      <c r="F17" s="96" t="s">
        <v>88</v>
      </c>
      <c r="G17" s="96" t="s">
        <v>79</v>
      </c>
      <c r="H17" s="96" t="s">
        <v>89</v>
      </c>
      <c r="I17" s="96" t="s">
        <v>108</v>
      </c>
    </row>
    <row r="18" spans="2:9" ht="15.75" customHeight="1" x14ac:dyDescent="0.3">
      <c r="B18" s="74" t="str">
        <f>IF(ISNUMBER(VALUE(LEFT(Datos!B37,4))),MID(Datos!B37,6,100),Datos!B37)</f>
        <v>ANGIE PAOLA CHAGUENDO</v>
      </c>
      <c r="C18" s="75">
        <f>Datos!C37</f>
        <v>744134.18559999997</v>
      </c>
      <c r="D18" s="76">
        <f>Datos!D37</f>
        <v>647245</v>
      </c>
      <c r="E18" s="77">
        <f>Datos!E37</f>
        <v>0.86979608318642476</v>
      </c>
      <c r="F18" s="78">
        <f>Datos!G37</f>
        <v>14</v>
      </c>
      <c r="G18" s="78">
        <f>Datos!F37</f>
        <v>25</v>
      </c>
      <c r="H18" s="78">
        <f>Datos!I37</f>
        <v>11</v>
      </c>
      <c r="I18" s="97" t="str">
        <f>IF(Datos!E37&gt;=0.9,"🟢 EXCELENTE",IF(Datos!E37&gt;=0.7,"🟡 EN CAMINO",IF(Datos!E37&gt;=0.5,"🟠 ALERTA","🔴 CRÍTICO")))</f>
        <v>🟡 EN CAMINO</v>
      </c>
    </row>
    <row r="19" spans="2:9" ht="15.75" customHeight="1" x14ac:dyDescent="0.3">
      <c r="B19" s="79" t="str">
        <f>IF(ISNUMBER(VALUE(LEFT(Datos!B38,4))),MID(Datos!B38,6,100),Datos!B38)</f>
        <v>DAVID PERDOMO</v>
      </c>
      <c r="C19" s="80">
        <f>Datos!C38</f>
        <v>744134.18559999997</v>
      </c>
      <c r="D19" s="81">
        <f>Datos!D38</f>
        <v>760610</v>
      </c>
      <c r="E19" s="82">
        <f>Datos!E38</f>
        <v>1.0221409185585466</v>
      </c>
      <c r="F19" s="83">
        <f>Datos!G38</f>
        <v>14</v>
      </c>
      <c r="G19" s="83">
        <f>Datos!F38</f>
        <v>25</v>
      </c>
      <c r="H19" s="83">
        <f>Datos!I38</f>
        <v>11</v>
      </c>
      <c r="I19" s="98" t="str">
        <f>IF(Datos!E38&gt;=0.9,"🟢 EXCELENTE",IF(Datos!E38&gt;=0.7,"🟡 EN CAMINO",IF(Datos!E38&gt;=0.5,"🟠 ALERTA","🔴 CRÍTICO")))</f>
        <v>🟢 EXCELENTE</v>
      </c>
    </row>
    <row r="20" spans="2:9" ht="15.75" customHeight="1" x14ac:dyDescent="0.3">
      <c r="B20" s="74" t="str">
        <f>IF(ISNUMBER(VALUE(LEFT(Datos!B39,4))),MID(Datos!B39,6,100),Datos!B39)</f>
        <v>LEYDI CAROLINA ZUÑIGA CASTILLO</v>
      </c>
      <c r="C20" s="75">
        <f>Datos!C39</f>
        <v>744134.18559999997</v>
      </c>
      <c r="D20" s="76">
        <f>Datos!D39</f>
        <v>985480</v>
      </c>
      <c r="E20" s="77">
        <f>Datos!E39</f>
        <v>1.3243310401139565</v>
      </c>
      <c r="F20" s="78">
        <f>Datos!G39</f>
        <v>26</v>
      </c>
      <c r="G20" s="78">
        <f>Datos!F39</f>
        <v>25</v>
      </c>
      <c r="H20" s="78">
        <f>Datos!I39</f>
        <v>-1</v>
      </c>
      <c r="I20" s="97" t="str">
        <f>IF(Datos!E39&gt;=0.9,"🟢 EXCELENTE",IF(Datos!E39&gt;=0.7,"🟡 EN CAMINO",IF(Datos!E39&gt;=0.5,"🟠 ALERTA","🔴 CRÍTICO")))</f>
        <v>🟢 EXCELENTE</v>
      </c>
    </row>
    <row r="21" spans="2:9" ht="15.75" customHeight="1" x14ac:dyDescent="0.3">
      <c r="B21" s="79" t="str">
        <f>IF(ISNUMBER(VALUE(LEFT(Datos!B40,4))),MID(Datos!B40,6,100),Datos!B40)</f>
        <v>ALEXANDRA ERAZO</v>
      </c>
      <c r="C21" s="80">
        <f>Datos!C40</f>
        <v>744134.18559999997</v>
      </c>
      <c r="D21" s="81">
        <f>Datos!D40</f>
        <v>139684</v>
      </c>
      <c r="E21" s="82">
        <f>Datos!E40</f>
        <v>0.18771345639412054</v>
      </c>
      <c r="F21" s="83">
        <f>Datos!G40</f>
        <v>1</v>
      </c>
      <c r="G21" s="83">
        <f>Datos!F40</f>
        <v>25</v>
      </c>
      <c r="H21" s="83">
        <f>Datos!I40</f>
        <v>24</v>
      </c>
      <c r="I21" s="98" t="str">
        <f>IF(Datos!E40&gt;=0.9,"🟢 EXCELENTE",IF(Datos!E40&gt;=0.7,"🟡 EN CAMINO",IF(Datos!E40&gt;=0.5,"🟠 ALERTA","🔴 CRÍTICO")))</f>
        <v>🔴 CRÍTICO</v>
      </c>
    </row>
    <row r="22" spans="2:9" ht="15.75" customHeight="1" x14ac:dyDescent="0.3">
      <c r="B22" s="74" t="str">
        <f>IF(ISNUMBER(VALUE(LEFT(Datos!B41,4))),MID(Datos!B41,6,100),Datos!B41)</f>
        <v>DIANA XIMENA SALAZAR</v>
      </c>
      <c r="C22" s="75">
        <f>Datos!C41</f>
        <v>744134.18559999997</v>
      </c>
      <c r="D22" s="76">
        <f>Datos!D41</f>
        <v>270644</v>
      </c>
      <c r="E22" s="77">
        <f>Datos!E41</f>
        <v>0.36370322078642048</v>
      </c>
      <c r="F22" s="78">
        <f>Datos!G41</f>
        <v>9</v>
      </c>
      <c r="G22" s="78">
        <f>Datos!F41</f>
        <v>25</v>
      </c>
      <c r="H22" s="78">
        <f>Datos!I41</f>
        <v>16</v>
      </c>
      <c r="I22" s="97" t="str">
        <f>IF(Datos!E41&gt;=0.9,"🟢 EXCELENTE",IF(Datos!E41&gt;=0.7,"🟡 EN CAMINO",IF(Datos!E41&gt;=0.5,"🟠 ALERTA","🔴 CRÍTICO")))</f>
        <v>🔴 CRÍTICO</v>
      </c>
    </row>
    <row r="23" spans="2:9" ht="15.75" customHeight="1" x14ac:dyDescent="0.3">
      <c r="B23" s="79" t="str">
        <f>IF(ISNUMBER(VALUE(LEFT(Datos!B42,4))),MID(Datos!B42,6,100),Datos!B42)</f>
        <v>LUIS ALFONSO CAMAYO</v>
      </c>
      <c r="C23" s="80">
        <f>Datos!C42</f>
        <v>744134.18559999997</v>
      </c>
      <c r="D23" s="81">
        <f>Datos!D42</f>
        <v>665385</v>
      </c>
      <c r="E23" s="82">
        <f>Datos!E42</f>
        <v>0.89417340699580405</v>
      </c>
      <c r="F23" s="83">
        <f>Datos!G42</f>
        <v>21</v>
      </c>
      <c r="G23" s="83">
        <f>Datos!F42</f>
        <v>25</v>
      </c>
      <c r="H23" s="83">
        <f>Datos!I42</f>
        <v>4</v>
      </c>
      <c r="I23" s="98" t="str">
        <f>IF(Datos!E42&gt;=0.9,"🟢 EXCELENTE",IF(Datos!E42&gt;=0.7,"🟡 EN CAMINO",IF(Datos!E42&gt;=0.5,"🟠 ALERTA","🔴 CRÍTICO")))</f>
        <v>🟡 EN CAMINO</v>
      </c>
    </row>
    <row r="24" spans="2:9" ht="15.75" customHeight="1" x14ac:dyDescent="0.3">
      <c r="B24" s="74" t="str">
        <f>IF(ISNUMBER(VALUE(LEFT(Datos!B43,4))),MID(Datos!B43,6,100),Datos!B43)</f>
        <v>JUAN CARLOS MORALES</v>
      </c>
      <c r="C24" s="75">
        <f>Datos!C43</f>
        <v>893894.18559999997</v>
      </c>
      <c r="D24" s="76">
        <f>Datos!D43</f>
        <v>3057770</v>
      </c>
      <c r="E24" s="77">
        <f>Datos!E43</f>
        <v>3.4207292644459506</v>
      </c>
      <c r="F24" s="78">
        <f>Datos!G43</f>
        <v>14</v>
      </c>
      <c r="G24" s="78">
        <f>Datos!F43</f>
        <v>20</v>
      </c>
      <c r="H24" s="78">
        <f>Datos!I43</f>
        <v>6</v>
      </c>
      <c r="I24" s="97" t="str">
        <f>IF(Datos!E43&gt;=0.9,"🟢 EXCELENTE",IF(Datos!E43&gt;=0.7,"🟡 EN CAMINO",IF(Datos!E43&gt;=0.5,"🟠 ALERTA","🔴 CRÍTICO")))</f>
        <v>🟢 EXCELENTE</v>
      </c>
    </row>
    <row r="25" spans="2:9" ht="15.75" customHeight="1" x14ac:dyDescent="0.3">
      <c r="B25" s="79" t="str">
        <f>IF(ISNUMBER(VALUE(LEFT(Datos!B44,4))),MID(Datos!B44,6,100),Datos!B44)</f>
        <v>ESTEBAN IMBACHI</v>
      </c>
      <c r="C25" s="80">
        <f>Datos!C44</f>
        <v>893894.14399999985</v>
      </c>
      <c r="D25" s="81">
        <f>Datos!D44</f>
        <v>1140773</v>
      </c>
      <c r="E25" s="82">
        <f>Datos!E44</f>
        <v>1.2761835477467902</v>
      </c>
      <c r="F25" s="83">
        <f>Datos!G44</f>
        <v>8</v>
      </c>
      <c r="G25" s="83">
        <f>Datos!F44</f>
        <v>20</v>
      </c>
      <c r="H25" s="83">
        <f>Datos!I44</f>
        <v>12</v>
      </c>
      <c r="I25" s="98" t="str">
        <f>IF(Datos!E44&gt;=0.9,"🟢 EXCELENTE",IF(Datos!E44&gt;=0.7,"🟡 EN CAMINO",IF(Datos!E44&gt;=0.5,"🟠 ALERTA","🔴 CRÍTICO")))</f>
        <v>🟢 EXCELENTE</v>
      </c>
    </row>
    <row r="26" spans="2:9" ht="18" customHeight="1" x14ac:dyDescent="0.3">
      <c r="B26" s="84" t="s">
        <v>95</v>
      </c>
      <c r="C26" s="99">
        <f>Datos!C37+Datos!C38+Datos!C39+Datos!C40+Datos!C41+Datos!C42+Datos!C43+Datos!C44</f>
        <v>6252593.4431999996</v>
      </c>
      <c r="D26" s="86">
        <f>Datos!D37+Datos!D38+Datos!D39+Datos!D40+Datos!D41+Datos!D42+Datos!D43+Datos!D44</f>
        <v>7667591</v>
      </c>
      <c r="E26" s="87">
        <f>D26/C26</f>
        <v>1.2263057033300124</v>
      </c>
      <c r="F26" s="99">
        <f>Datos!G37+Datos!G38+Datos!G39+Datos!G40+Datos!G41+Datos!G42+Datos!G43+Datos!G44</f>
        <v>107</v>
      </c>
      <c r="G26" s="99">
        <f>Datos!F37+Datos!F38+Datos!F39+Datos!F40+Datos!F41+Datos!F42+Datos!F43+Datos!F44</f>
        <v>190</v>
      </c>
      <c r="H26" s="88">
        <f>SUM(H18:H25)</f>
        <v>83</v>
      </c>
      <c r="I26" s="87">
        <f>F26/G26</f>
        <v>0.56315789473684208</v>
      </c>
    </row>
    <row r="27" spans="2:9" ht="7.5" customHeight="1" x14ac:dyDescent="0.3"/>
    <row r="28" spans="2:9" ht="18" customHeight="1" x14ac:dyDescent="0.3">
      <c r="B28" s="159" t="s">
        <v>109</v>
      </c>
      <c r="C28" s="138"/>
      <c r="D28" s="138"/>
      <c r="E28" s="138"/>
      <c r="F28" s="138"/>
      <c r="G28" s="138"/>
      <c r="H28" s="138"/>
      <c r="I28" s="138"/>
    </row>
    <row r="29" spans="2:9" ht="15.75" customHeight="1" x14ac:dyDescent="0.3">
      <c r="B29" s="157" t="str">
        <f>"▶ Venta del día en progreso: "&amp;TEXT((Datos!D37+Datos!D38+Datos!D39+Datos!D40+Datos!D41+Datos!D42+Datos!D43+Datos!D44)/(Datos!C37+Datos!C38+Datos!C39+Datos!C40+Datos!C41+Datos!C42+Datos!C43+Datos!C44),"0.0%")&amp;" del presupuesto."</f>
        <v>▶ Venta del día en progreso: 122.6% del presupuesto.</v>
      </c>
      <c r="C29" s="138"/>
      <c r="D29" s="138"/>
      <c r="E29" s="138"/>
      <c r="F29" s="138"/>
      <c r="G29" s="138"/>
      <c r="H29" s="138"/>
      <c r="I29" s="138"/>
    </row>
    <row r="30" spans="2:9" ht="15.75" customHeight="1" x14ac:dyDescent="0.3">
      <c r="B30" s="154" t="str">
        <f>IF(COUNTIF(Datos!H37:H44,"&gt;="&amp;1)=8,"✔ "&amp;8&amp;" de 8 asesores cumplen meta. Excedente de "&amp;ABS((Datos!G37+Datos!G38+Datos!G39+Datos!G40+Datos!G41+Datos!G42+Datos!G43+Datos!G44)-(Datos!F37+Datos!F38+Datos!F39+Datos!F40+Datos!F41+Datos!F42+Datos!F43+Datos!F44))&amp;" pedidos sobre el objetivo.","▶ "&amp;COUNTIF(Datos!H37:H44,"&gt;="&amp;1)&amp;" de 8 asesores cumplen meta. Pendiente cerrar "&amp;MAX(0,(Datos!F37+Datos!F38+Datos!F39+Datos!F40+Datos!F41+Datos!F42+Datos!F43+Datos!F44)-(Datos!G37+Datos!G38+Datos!G39+Datos!G40+Datos!G41+Datos!G42+Datos!G43+Datos!G44))&amp;" pedidos.")</f>
        <v>▶ 1 de 8 asesores cumplen meta. Pendiente cerrar 83 pedidos.</v>
      </c>
      <c r="C30" s="138"/>
      <c r="D30" s="138"/>
      <c r="E30" s="138"/>
      <c r="F30" s="138"/>
      <c r="G30" s="138"/>
      <c r="H30" s="138"/>
      <c r="I30" s="138"/>
    </row>
    <row r="31" spans="2:9" ht="15.75" customHeight="1" x14ac:dyDescent="0.3">
      <c r="B31" s="157" t="str">
        <f>"★ Mejor asesor: "&amp;IF(ISNUMBER(VALUE(LEFT(INDEX(Datos!B37:B44,MATCH(MAX(Datos!D37:D44),Datos!D37:D44,0)),4))),MID(INDEX(Datos!B37:B44,MATCH(MAX(Datos!D37:D44),Datos!D37:D44,0)),6,100),INDEX(Datos!B37:B44,MATCH(MAX(Datos!D37:D44),Datos!D37:D44,0)))&amp;" con "&amp;TEXT(MAX(Datos!D37:D44),"$#,##0")&amp;" y "&amp;INDEX(Datos!G37:G44,MATCH(MAX(Datos!D37:D44),Datos!D37:D44,0))&amp;" facturas."</f>
        <v>★ Mejor asesor: JUAN CARLOS MORALES con $3,057,770 y 14 facturas.</v>
      </c>
      <c r="C31" s="138"/>
      <c r="D31" s="138"/>
      <c r="E31" s="138"/>
      <c r="F31" s="138"/>
      <c r="G31" s="138"/>
      <c r="H31" s="138"/>
      <c r="I31" s="138"/>
    </row>
    <row r="32" spans="2:9" ht="15.75" customHeight="1" x14ac:dyDescent="0.3">
      <c r="B32" s="154" t="str">
        <f>"⚠ Asesor con menor venta: "&amp;IF(ISNUMBER(VALUE(LEFT(INDEX(Datos!B37:B44,MATCH(MIN(Datos!D37:D44),Datos!D37:D44,0)),4))),MID(INDEX(Datos!B37:B44,MATCH(MIN(Datos!D37:D44),Datos!D37:D44,0)),6,100),INDEX(Datos!B37:B44,MATCH(MIN(Datos!D37:D44),Datos!D37:D44,0)))&amp;" con "&amp;TEXT(MIN(Datos!D37:D44),"$#,##0")&amp;" ("&amp;TEXT(MIN(Datos!E37:E44),"0.0%")&amp;" del ppto)."</f>
        <v>⚠ Asesor con menor venta: ALEXANDRA ERAZO con $139,684 (18.8% del ppto).</v>
      </c>
      <c r="C32" s="138"/>
      <c r="D32" s="138"/>
      <c r="E32" s="138"/>
      <c r="F32" s="138"/>
      <c r="G32" s="138"/>
      <c r="H32" s="138"/>
      <c r="I32" s="138"/>
    </row>
  </sheetData>
  <mergeCells count="24">
    <mergeCell ref="B30:I30"/>
    <mergeCell ref="D6:E6"/>
    <mergeCell ref="F7:G9"/>
    <mergeCell ref="B12:C14"/>
    <mergeCell ref="H6:I6"/>
    <mergeCell ref="B11:C11"/>
    <mergeCell ref="D11:E11"/>
    <mergeCell ref="F12:G14"/>
    <mergeCell ref="B32:I32"/>
    <mergeCell ref="B4:I4"/>
    <mergeCell ref="B1:I3"/>
    <mergeCell ref="H11:I11"/>
    <mergeCell ref="B29:I29"/>
    <mergeCell ref="D7:E9"/>
    <mergeCell ref="B28:I28"/>
    <mergeCell ref="B6:C6"/>
    <mergeCell ref="H7:I9"/>
    <mergeCell ref="D12:E14"/>
    <mergeCell ref="H12:I14"/>
    <mergeCell ref="F11:G11"/>
    <mergeCell ref="B16:I16"/>
    <mergeCell ref="B7:C9"/>
    <mergeCell ref="F6:G6"/>
    <mergeCell ref="B31:I3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I26"/>
  <sheetViews>
    <sheetView workbookViewId="0">
      <selection activeCell="B1" sqref="B1:I21"/>
    </sheetView>
  </sheetViews>
  <sheetFormatPr baseColWidth="10" defaultColWidth="8.88671875" defaultRowHeight="14.4" x14ac:dyDescent="0.3"/>
  <cols>
    <col min="1" max="1" width="3" customWidth="1"/>
    <col min="2" max="2" width="30" customWidth="1"/>
    <col min="3" max="4" width="16" customWidth="1"/>
    <col min="5" max="5" width="15" customWidth="1"/>
    <col min="6" max="6" width="13" customWidth="1"/>
    <col min="7" max="7" width="12" customWidth="1"/>
    <col min="8" max="8" width="14" customWidth="1"/>
    <col min="9" max="9" width="13" customWidth="1"/>
    <col min="10" max="10" width="3" customWidth="1"/>
  </cols>
  <sheetData>
    <row r="1" spans="2:9" ht="12" customHeight="1" x14ac:dyDescent="0.3">
      <c r="B1" s="155" t="s">
        <v>121</v>
      </c>
      <c r="C1" s="138"/>
      <c r="D1" s="138"/>
      <c r="E1" s="138"/>
      <c r="F1" s="138"/>
      <c r="G1" s="138"/>
      <c r="H1" s="138"/>
      <c r="I1" s="138"/>
    </row>
    <row r="2" spans="2:9" ht="21.75" customHeight="1" x14ac:dyDescent="0.3">
      <c r="B2" s="138"/>
      <c r="C2" s="138"/>
      <c r="D2" s="138"/>
      <c r="E2" s="138"/>
      <c r="F2" s="138"/>
      <c r="G2" s="138"/>
      <c r="H2" s="138"/>
      <c r="I2" s="138"/>
    </row>
    <row r="3" spans="2:9" ht="12" customHeight="1" x14ac:dyDescent="0.3">
      <c r="B3" s="138"/>
      <c r="C3" s="138"/>
      <c r="D3" s="138"/>
      <c r="E3" s="138"/>
      <c r="F3" s="138"/>
      <c r="G3" s="138"/>
      <c r="H3" s="138"/>
      <c r="I3" s="138"/>
    </row>
    <row r="4" spans="2:9" ht="18" customHeight="1" x14ac:dyDescent="0.3">
      <c r="B4" s="153" t="s">
        <v>117</v>
      </c>
      <c r="C4" s="138"/>
      <c r="D4" s="138"/>
      <c r="E4" s="138"/>
      <c r="F4" s="138"/>
      <c r="G4" s="138"/>
      <c r="H4" s="138"/>
      <c r="I4" s="138"/>
    </row>
    <row r="5" spans="2:9" ht="7.5" customHeight="1" x14ac:dyDescent="0.3"/>
    <row r="6" spans="2:9" ht="18" customHeight="1" x14ac:dyDescent="0.3">
      <c r="B6" s="189" t="s">
        <v>100</v>
      </c>
      <c r="C6" s="138"/>
      <c r="D6" s="156" t="s">
        <v>66</v>
      </c>
      <c r="E6" s="138"/>
      <c r="F6" s="167" t="s">
        <v>101</v>
      </c>
      <c r="G6" s="138"/>
      <c r="H6" s="170" t="s">
        <v>102</v>
      </c>
      <c r="I6" s="138"/>
    </row>
    <row r="7" spans="2:9" ht="18" customHeight="1" x14ac:dyDescent="0.3">
      <c r="B7" s="192" t="str">
        <f>TEXT((Datos!D2+Datos!D3)/1000000,"$#,##0.00")&amp;"M"</f>
        <v>$3.86M</v>
      </c>
      <c r="C7" s="138"/>
      <c r="D7" s="158" t="str">
        <f>TEXT((Datos!C2+Datos!C3)/1000000,"$#,##0.00")&amp;"M"</f>
        <v>$10.05M</v>
      </c>
      <c r="E7" s="138"/>
      <c r="F7" s="168" t="str">
        <f>TEXT((Datos!D2+Datos!D3)/(Datos!C2+Datos!C3),"0.0%")</f>
        <v>38.4%</v>
      </c>
      <c r="G7" s="138"/>
      <c r="H7" s="161" t="str">
        <f>TEXT((Datos!G2+Datos!G3)/(Datos!F2+Datos!F3),"0.0%")</f>
        <v>43.3%</v>
      </c>
      <c r="I7" s="138"/>
    </row>
    <row r="8" spans="2:9" ht="18" customHeight="1" x14ac:dyDescent="0.3">
      <c r="B8" s="138"/>
      <c r="C8" s="138"/>
      <c r="D8" s="138"/>
      <c r="E8" s="138"/>
      <c r="F8" s="138"/>
      <c r="G8" s="138"/>
      <c r="H8" s="138"/>
      <c r="I8" s="138"/>
    </row>
    <row r="9" spans="2:9" ht="18" customHeight="1" x14ac:dyDescent="0.3">
      <c r="B9" s="138"/>
      <c r="C9" s="138"/>
      <c r="D9" s="138"/>
      <c r="E9" s="138"/>
      <c r="F9" s="138"/>
      <c r="G9" s="138"/>
      <c r="H9" s="138"/>
      <c r="I9" s="138"/>
    </row>
    <row r="10" spans="2:9" ht="7.5" customHeight="1" x14ac:dyDescent="0.3"/>
    <row r="11" spans="2:9" ht="18" customHeight="1" x14ac:dyDescent="0.3">
      <c r="B11" s="171" t="s">
        <v>103</v>
      </c>
      <c r="C11" s="138"/>
      <c r="D11" s="167" t="s">
        <v>104</v>
      </c>
      <c r="E11" s="138"/>
      <c r="F11" s="190" t="s">
        <v>105</v>
      </c>
      <c r="G11" s="138"/>
      <c r="H11" s="156" t="s">
        <v>106</v>
      </c>
      <c r="I11" s="138"/>
    </row>
    <row r="12" spans="2:9" ht="18" customHeight="1" x14ac:dyDescent="0.3">
      <c r="B12" s="169" t="str">
        <f>TEXT(Datos!G2+Datos!G3,"0")&amp;" / "&amp;TEXT(Datos!F2+Datos!F3,"0")</f>
        <v>13 / 30</v>
      </c>
      <c r="C12" s="138"/>
      <c r="D12" s="162" t="str">
        <f>TEXT(COUNTIF(Datos!H2:H3,"&gt;="&amp;1),"0")&amp;" / "&amp;"2"</f>
        <v>0 / 2</v>
      </c>
      <c r="E12" s="138"/>
      <c r="F12" s="193" t="str">
        <f>IF(ISNUMBER(VALUE(LEFT(INDEX(Datos!B2:B3,MATCH(MAX(Datos!D2:D3),Datos!D2:D3,0)),4))),MID(INDEX(Datos!B2:B3,MATCH(MAX(Datos!D2:D3),Datos!D2:D3,0)),6,100),INDEX(Datos!B2:B3,MATCH(MAX(Datos!D2:D3),Datos!D2:D3,0)))</f>
        <v>NAVIA LOPEZ HAROLD</v>
      </c>
      <c r="G12" s="138"/>
      <c r="H12" s="163" t="str">
        <f>TEXT(ABS(Datos!F2+Datos!F3-Datos!G2+Datos!G3),"0")&amp;IF(Datos!G2+Datos!G3&gt;=Datos!F2+Datos!F3," excedente"," pedidos")</f>
        <v>33 pedidos</v>
      </c>
      <c r="I12" s="138"/>
    </row>
    <row r="13" spans="2:9" ht="18" customHeight="1" x14ac:dyDescent="0.3">
      <c r="B13" s="138"/>
      <c r="C13" s="138"/>
      <c r="D13" s="138"/>
      <c r="E13" s="138"/>
      <c r="F13" s="138"/>
      <c r="G13" s="138"/>
      <c r="H13" s="138"/>
      <c r="I13" s="138"/>
    </row>
    <row r="14" spans="2:9" ht="18" customHeight="1" x14ac:dyDescent="0.3">
      <c r="B14" s="138"/>
      <c r="C14" s="138"/>
      <c r="D14" s="138"/>
      <c r="E14" s="138"/>
      <c r="F14" s="138"/>
      <c r="G14" s="138"/>
      <c r="H14" s="138"/>
      <c r="I14" s="138"/>
    </row>
    <row r="15" spans="2:9" ht="7.5" customHeight="1" x14ac:dyDescent="0.3"/>
    <row r="16" spans="2:9" ht="19.5" customHeight="1" x14ac:dyDescent="0.3">
      <c r="B16" s="191" t="s">
        <v>122</v>
      </c>
      <c r="C16" s="138"/>
      <c r="D16" s="138"/>
      <c r="E16" s="138"/>
      <c r="F16" s="138"/>
      <c r="G16" s="138"/>
      <c r="H16" s="138"/>
      <c r="I16" s="138"/>
    </row>
    <row r="17" spans="2:9" ht="19.5" customHeight="1" x14ac:dyDescent="0.3">
      <c r="B17" s="96" t="s">
        <v>1</v>
      </c>
      <c r="C17" s="96" t="s">
        <v>86</v>
      </c>
      <c r="D17" s="96" t="s">
        <v>87</v>
      </c>
      <c r="E17" s="96" t="s">
        <v>77</v>
      </c>
      <c r="F17" s="96" t="s">
        <v>88</v>
      </c>
      <c r="G17" s="96" t="s">
        <v>79</v>
      </c>
      <c r="H17" s="96" t="s">
        <v>89</v>
      </c>
      <c r="I17" s="96" t="s">
        <v>108</v>
      </c>
    </row>
    <row r="18" spans="2:9" ht="15.75" customHeight="1" x14ac:dyDescent="0.3">
      <c r="B18" s="74" t="str">
        <f>IF(ISNUMBER(VALUE(LEFT(Datos!B2,4))),MID(Datos!B2,6,100),Datos!B2)</f>
        <v>CRISTIAN COTAZO</v>
      </c>
      <c r="C18" s="75">
        <f>Datos!C2</f>
        <v>4268013.2768000001</v>
      </c>
      <c r="D18" s="76">
        <f>Datos!D2</f>
        <v>1143593.3799999999</v>
      </c>
      <c r="E18" s="77">
        <f>Datos!E2</f>
        <v>0.26794513180554685</v>
      </c>
      <c r="F18" s="78">
        <f>Datos!G2</f>
        <v>5</v>
      </c>
      <c r="G18" s="78">
        <f>Datos!F2</f>
        <v>15</v>
      </c>
      <c r="H18" s="78">
        <f>Datos!I2</f>
        <v>10</v>
      </c>
      <c r="I18" s="97" t="str">
        <f>IF(Datos!E2&gt;=0.9,"🟢 EXCELENTE",IF(Datos!E2&gt;=0.7,"🟡 EN CAMINO",IF(Datos!E2&gt;=0.5,"🟠 ALERTA","🔴 CRÍTICO")))</f>
        <v>🔴 CRÍTICO</v>
      </c>
    </row>
    <row r="19" spans="2:9" ht="15.75" customHeight="1" x14ac:dyDescent="0.3">
      <c r="B19" s="79" t="str">
        <f>IF(ISNUMBER(VALUE(LEFT(Datos!B3,4))),MID(Datos!B3,6,100),Datos!B3)</f>
        <v>NAVIA LOPEZ HAROLD</v>
      </c>
      <c r="C19" s="80">
        <f>Datos!C3</f>
        <v>5782400</v>
      </c>
      <c r="D19" s="81">
        <f>Datos!D3</f>
        <v>2715937.79</v>
      </c>
      <c r="E19" s="82">
        <f>Datos!E3</f>
        <v>0.46969040363862757</v>
      </c>
      <c r="F19" s="83">
        <f>Datos!G3</f>
        <v>8</v>
      </c>
      <c r="G19" s="83">
        <f>Datos!F3</f>
        <v>15</v>
      </c>
      <c r="H19" s="83">
        <f>Datos!I3</f>
        <v>7</v>
      </c>
      <c r="I19" s="98" t="str">
        <f>IF(Datos!E3&gt;=0.9,"🟢 EXCELENTE",IF(Datos!E3&gt;=0.7,"🟡 EN CAMINO",IF(Datos!E3&gt;=0.5,"🟠 ALERTA","🔴 CRÍTICO")))</f>
        <v>🔴 CRÍTICO</v>
      </c>
    </row>
    <row r="20" spans="2:9" ht="18" customHeight="1" x14ac:dyDescent="0.3">
      <c r="B20" s="84" t="s">
        <v>96</v>
      </c>
      <c r="C20" s="99">
        <f>Datos!C2+Datos!C3</f>
        <v>10050413.276799999</v>
      </c>
      <c r="D20" s="86">
        <f>Datos!D2+Datos!D3</f>
        <v>3859531.17</v>
      </c>
      <c r="E20" s="87">
        <f>D20/C20</f>
        <v>0.38401716065837793</v>
      </c>
      <c r="F20" s="99">
        <f>Datos!G2+Datos!G3</f>
        <v>13</v>
      </c>
      <c r="G20" s="99">
        <f>Datos!F2+Datos!F3</f>
        <v>30</v>
      </c>
      <c r="H20" s="88">
        <f>SUM(H18:H19)</f>
        <v>17</v>
      </c>
      <c r="I20" s="87">
        <f>F20/G20</f>
        <v>0.43333333333333335</v>
      </c>
    </row>
    <row r="21" spans="2:9" ht="7.5" customHeight="1" x14ac:dyDescent="0.3"/>
    <row r="22" spans="2:9" ht="18" customHeight="1" x14ac:dyDescent="0.3">
      <c r="B22" s="159" t="s">
        <v>109</v>
      </c>
      <c r="C22" s="138"/>
      <c r="D22" s="138"/>
      <c r="E22" s="138"/>
      <c r="F22" s="138"/>
      <c r="G22" s="138"/>
      <c r="H22" s="138"/>
      <c r="I22" s="138"/>
    </row>
    <row r="23" spans="2:9" ht="15.75" customHeight="1" x14ac:dyDescent="0.3">
      <c r="B23" s="157" t="str">
        <f>"▶ Venta del día en progreso: "&amp;TEXT((Datos!D2+Datos!D3)/(Datos!C2+Datos!C3),"0.0%")&amp;" del presupuesto."</f>
        <v>▶ Venta del día en progreso: 38.4% del presupuesto.</v>
      </c>
      <c r="C23" s="138"/>
      <c r="D23" s="138"/>
      <c r="E23" s="138"/>
      <c r="F23" s="138"/>
      <c r="G23" s="138"/>
      <c r="H23" s="138"/>
      <c r="I23" s="138"/>
    </row>
    <row r="24" spans="2:9" ht="15.75" customHeight="1" x14ac:dyDescent="0.3">
      <c r="B24" s="154" t="str">
        <f>IF(COUNTIF(Datos!H2:H3,"&gt;="&amp;1)=2,"✔ "&amp;2&amp;" de 2 asesores cumplen meta. Excedente de "&amp;ABS((Datos!G2+Datos!G3)-(Datos!F2+Datos!F3))&amp;" pedidos sobre el objetivo.","▶ "&amp;COUNTIF(Datos!H2:H3,"&gt;="&amp;1)&amp;" de 2 asesores cumplen meta. Pendiente cerrar "&amp;MAX(0,(Datos!F2+Datos!F3)-(Datos!G2+Datos!G3))&amp;" pedidos.")</f>
        <v>▶ 0 de 2 asesores cumplen meta. Pendiente cerrar 17 pedidos.</v>
      </c>
      <c r="C24" s="138"/>
      <c r="D24" s="138"/>
      <c r="E24" s="138"/>
      <c r="F24" s="138"/>
      <c r="G24" s="138"/>
      <c r="H24" s="138"/>
      <c r="I24" s="138"/>
    </row>
    <row r="25" spans="2:9" ht="15.75" customHeight="1" x14ac:dyDescent="0.3">
      <c r="B25" s="157" t="str">
        <f>"★ Mejor asesor: "&amp;IF(ISNUMBER(VALUE(LEFT(INDEX(Datos!B2:B3,MATCH(MAX(Datos!D2:D3),Datos!D2:D3,0)),4))),MID(INDEX(Datos!B2:B3,MATCH(MAX(Datos!D2:D3),Datos!D2:D3,0)),6,100),INDEX(Datos!B2:B3,MATCH(MAX(Datos!D2:D3),Datos!D2:D3,0)))&amp;" con "&amp;TEXT(MAX(Datos!D2:D3),"$#,##0")&amp;" y "&amp;INDEX(Datos!G2:G3,MATCH(MAX(Datos!D2:D3),Datos!D2:D3,0))&amp;" facturas."</f>
        <v>★ Mejor asesor: NAVIA LOPEZ HAROLD con $2,715,938 y 8 facturas.</v>
      </c>
      <c r="C25" s="138"/>
      <c r="D25" s="138"/>
      <c r="E25" s="138"/>
      <c r="F25" s="138"/>
      <c r="G25" s="138"/>
      <c r="H25" s="138"/>
      <c r="I25" s="138"/>
    </row>
    <row r="26" spans="2:9" ht="15.75" customHeight="1" x14ac:dyDescent="0.3">
      <c r="B26" s="154" t="str">
        <f>"⚠ Asesor con menor venta: "&amp;IF(ISNUMBER(VALUE(LEFT(INDEX(Datos!B2:B3,MATCH(MIN(Datos!D2:D3),Datos!D2:D3,0)),4))),MID(INDEX(Datos!B2:B3,MATCH(MIN(Datos!D2:D3),Datos!D2:D3,0)),6,100),INDEX(Datos!B2:B3,MATCH(MIN(Datos!D2:D3),Datos!D2:D3,0)))&amp;" con "&amp;TEXT(MIN(Datos!D2:D3),"$#,##0")&amp;" ("&amp;TEXT(MIN(Datos!E2:E3),"0.0%")&amp;" del ppto)."</f>
        <v>⚠ Asesor con menor venta: CRISTIAN COTAZO con $1,143,593 (26.8% del ppto).</v>
      </c>
      <c r="C26" s="138"/>
      <c r="D26" s="138"/>
      <c r="E26" s="138"/>
      <c r="F26" s="138"/>
      <c r="G26" s="138"/>
      <c r="H26" s="138"/>
      <c r="I26" s="138"/>
    </row>
  </sheetData>
  <mergeCells count="24">
    <mergeCell ref="B12:C14"/>
    <mergeCell ref="H6:I6"/>
    <mergeCell ref="B11:C11"/>
    <mergeCell ref="D11:E11"/>
    <mergeCell ref="B23:I23"/>
    <mergeCell ref="F12:G14"/>
    <mergeCell ref="D12:E14"/>
    <mergeCell ref="H12:I14"/>
    <mergeCell ref="B4:I4"/>
    <mergeCell ref="B26:I26"/>
    <mergeCell ref="B1:I3"/>
    <mergeCell ref="H11:I11"/>
    <mergeCell ref="D7:E9"/>
    <mergeCell ref="B6:C6"/>
    <mergeCell ref="H7:I9"/>
    <mergeCell ref="F11:G11"/>
    <mergeCell ref="B25:I25"/>
    <mergeCell ref="B16:I16"/>
    <mergeCell ref="B7:C9"/>
    <mergeCell ref="F6:G6"/>
    <mergeCell ref="B22:I22"/>
    <mergeCell ref="D6:E6"/>
    <mergeCell ref="F7:G9"/>
    <mergeCell ref="B24:I2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I28"/>
  <sheetViews>
    <sheetView zoomScaleNormal="100" workbookViewId="0">
      <selection activeCell="B1" sqref="B1:I23"/>
    </sheetView>
  </sheetViews>
  <sheetFormatPr baseColWidth="10" defaultColWidth="8.88671875" defaultRowHeight="14.4" x14ac:dyDescent="0.3"/>
  <cols>
    <col min="1" max="1" width="3" customWidth="1"/>
    <col min="2" max="2" width="30" customWidth="1"/>
    <col min="3" max="4" width="16" customWidth="1"/>
    <col min="5" max="5" width="15" customWidth="1"/>
    <col min="6" max="6" width="13" customWidth="1"/>
    <col min="7" max="7" width="12" customWidth="1"/>
    <col min="8" max="8" width="14" customWidth="1"/>
    <col min="9" max="9" width="13" customWidth="1"/>
    <col min="10" max="10" width="3" customWidth="1"/>
  </cols>
  <sheetData>
    <row r="1" spans="2:9" ht="12" customHeight="1" x14ac:dyDescent="0.3">
      <c r="B1" s="155" t="s">
        <v>123</v>
      </c>
      <c r="C1" s="138"/>
      <c r="D1" s="138"/>
      <c r="E1" s="138"/>
      <c r="F1" s="138"/>
      <c r="G1" s="138"/>
      <c r="H1" s="138"/>
      <c r="I1" s="138"/>
    </row>
    <row r="2" spans="2:9" ht="21.75" customHeight="1" x14ac:dyDescent="0.3">
      <c r="B2" s="138"/>
      <c r="C2" s="138"/>
      <c r="D2" s="138"/>
      <c r="E2" s="138"/>
      <c r="F2" s="138"/>
      <c r="G2" s="138"/>
      <c r="H2" s="138"/>
      <c r="I2" s="138"/>
    </row>
    <row r="3" spans="2:9" ht="12" customHeight="1" x14ac:dyDescent="0.3">
      <c r="B3" s="138"/>
      <c r="C3" s="138"/>
      <c r="D3" s="138"/>
      <c r="E3" s="138"/>
      <c r="F3" s="138"/>
      <c r="G3" s="138"/>
      <c r="H3" s="138"/>
      <c r="I3" s="138"/>
    </row>
    <row r="4" spans="2:9" ht="18" customHeight="1" x14ac:dyDescent="0.3">
      <c r="B4" s="153" t="s">
        <v>124</v>
      </c>
      <c r="C4" s="138"/>
      <c r="D4" s="138"/>
      <c r="E4" s="138"/>
      <c r="F4" s="138"/>
      <c r="G4" s="138"/>
      <c r="H4" s="138"/>
      <c r="I4" s="138"/>
    </row>
    <row r="5" spans="2:9" ht="7.5" customHeight="1" x14ac:dyDescent="0.3"/>
    <row r="6" spans="2:9" ht="18" customHeight="1" x14ac:dyDescent="0.3">
      <c r="B6" s="194" t="s">
        <v>100</v>
      </c>
      <c r="C6" s="138"/>
      <c r="D6" s="156" t="s">
        <v>66</v>
      </c>
      <c r="E6" s="138"/>
      <c r="F6" s="167" t="s">
        <v>101</v>
      </c>
      <c r="G6" s="138"/>
      <c r="H6" s="170" t="s">
        <v>102</v>
      </c>
      <c r="I6" s="138"/>
    </row>
    <row r="7" spans="2:9" ht="18" customHeight="1" x14ac:dyDescent="0.3">
      <c r="B7" s="197" t="str">
        <f>TEXT((Datos!D45+Datos!D46+Datos!D47+Datos!D48)/1000000,"$#,##0.00")&amp;"M"</f>
        <v>$3.60M</v>
      </c>
      <c r="C7" s="138"/>
      <c r="D7" s="158" t="str">
        <f>TEXT((Datos!C45+Datos!C46+Datos!C47+Datos!C48)/1000000,"$#,##0.00")&amp;"M"</f>
        <v>$10.11M</v>
      </c>
      <c r="E7" s="138"/>
      <c r="F7" s="168" t="str">
        <f>TEXT((Datos!D45+Datos!D46+Datos!D47+Datos!D48)/(Datos!C45+Datos!C46+Datos!C47+Datos!C48),"0.0%")</f>
        <v>35.6%</v>
      </c>
      <c r="G7" s="138"/>
      <c r="H7" s="161" t="str">
        <f>TEXT((Datos!G45+Datos!G46+Datos!G47+Datos!G48)/(Datos!F45+Datos!F46+Datos!F47+Datos!F48),"0.0%")</f>
        <v>44.0%</v>
      </c>
      <c r="I7" s="138"/>
    </row>
    <row r="8" spans="2:9" ht="18" customHeight="1" x14ac:dyDescent="0.3">
      <c r="B8" s="138"/>
      <c r="C8" s="138"/>
      <c r="D8" s="138"/>
      <c r="E8" s="138"/>
      <c r="F8" s="138"/>
      <c r="G8" s="138"/>
      <c r="H8" s="138"/>
      <c r="I8" s="138"/>
    </row>
    <row r="9" spans="2:9" ht="18" customHeight="1" x14ac:dyDescent="0.3">
      <c r="B9" s="138"/>
      <c r="C9" s="138"/>
      <c r="D9" s="138"/>
      <c r="E9" s="138"/>
      <c r="F9" s="138"/>
      <c r="G9" s="138"/>
      <c r="H9" s="138"/>
      <c r="I9" s="138"/>
    </row>
    <row r="10" spans="2:9" ht="7.5" customHeight="1" x14ac:dyDescent="0.3"/>
    <row r="11" spans="2:9" ht="18" customHeight="1" x14ac:dyDescent="0.3">
      <c r="B11" s="171" t="s">
        <v>103</v>
      </c>
      <c r="C11" s="138"/>
      <c r="D11" s="167" t="s">
        <v>104</v>
      </c>
      <c r="E11" s="138"/>
      <c r="F11" s="198" t="s">
        <v>105</v>
      </c>
      <c r="G11" s="138"/>
      <c r="H11" s="156" t="s">
        <v>106</v>
      </c>
      <c r="I11" s="138"/>
    </row>
    <row r="12" spans="2:9" ht="18" customHeight="1" x14ac:dyDescent="0.3">
      <c r="B12" s="169" t="str">
        <f>TEXT(Datos!G45+Datos!G46+Datos!G47+Datos!G48,"0")&amp;" / "&amp;TEXT(Datos!F45+Datos!F46+Datos!F47+Datos!F48,"0")</f>
        <v>74 / 168</v>
      </c>
      <c r="C12" s="138"/>
      <c r="D12" s="162" t="str">
        <f>TEXT(COUNTIF(Datos!H45:H48,"&gt;="&amp;1),"0")&amp;" / "&amp;"4"</f>
        <v>0 / 4</v>
      </c>
      <c r="E12" s="138"/>
      <c r="F12" s="196" t="str">
        <f>IF(ISNUMBER(VALUE(LEFT(INDEX(Datos!B45:B48,MATCH(MAX(Datos!D45:D48),Datos!D45:D48,0)),4))),MID(INDEX(Datos!B45:B48,MATCH(MAX(Datos!D45:D48),Datos!D45:D48,0)),6,100),INDEX(Datos!B45:B48,MATCH(MAX(Datos!D45:D48),Datos!D45:D48,0)))</f>
        <v>MARIA CAMILA RAMIREZ</v>
      </c>
      <c r="G12" s="138"/>
      <c r="H12" s="163" t="str">
        <f>TEXT(ABS(Datos!F45+Datos!F46+Datos!F47+Datos!F48-Datos!G45+Datos!G46+Datos!G47+Datos!G48),"0")&amp;IF(Datos!G45+Datos!G46+Datos!G47+Datos!G48&gt;=Datos!F45+Datos!F46+Datos!F47+Datos!F48," excedente"," pedidos")</f>
        <v>198 pedidos</v>
      </c>
      <c r="I12" s="138"/>
    </row>
    <row r="13" spans="2:9" ht="18" customHeight="1" x14ac:dyDescent="0.3">
      <c r="B13" s="138"/>
      <c r="C13" s="138"/>
      <c r="D13" s="138"/>
      <c r="E13" s="138"/>
      <c r="F13" s="138"/>
      <c r="G13" s="138"/>
      <c r="H13" s="138"/>
      <c r="I13" s="138"/>
    </row>
    <row r="14" spans="2:9" ht="18" customHeight="1" x14ac:dyDescent="0.3">
      <c r="B14" s="138"/>
      <c r="C14" s="138"/>
      <c r="D14" s="138"/>
      <c r="E14" s="138"/>
      <c r="F14" s="138"/>
      <c r="G14" s="138"/>
      <c r="H14" s="138"/>
      <c r="I14" s="138"/>
    </row>
    <row r="15" spans="2:9" ht="7.5" customHeight="1" x14ac:dyDescent="0.3"/>
    <row r="16" spans="2:9" ht="19.5" customHeight="1" x14ac:dyDescent="0.3">
      <c r="B16" s="195" t="s">
        <v>125</v>
      </c>
      <c r="C16" s="138"/>
      <c r="D16" s="138"/>
      <c r="E16" s="138"/>
      <c r="F16" s="138"/>
      <c r="G16" s="138"/>
      <c r="H16" s="138"/>
      <c r="I16" s="138"/>
    </row>
    <row r="17" spans="2:9" ht="19.5" customHeight="1" x14ac:dyDescent="0.3">
      <c r="B17" s="96" t="s">
        <v>1</v>
      </c>
      <c r="C17" s="96" t="s">
        <v>86</v>
      </c>
      <c r="D17" s="96" t="s">
        <v>87</v>
      </c>
      <c r="E17" s="96" t="s">
        <v>77</v>
      </c>
      <c r="F17" s="96" t="s">
        <v>88</v>
      </c>
      <c r="G17" s="96" t="s">
        <v>79</v>
      </c>
      <c r="H17" s="96" t="s">
        <v>89</v>
      </c>
      <c r="I17" s="96" t="s">
        <v>108</v>
      </c>
    </row>
    <row r="18" spans="2:9" ht="15.75" customHeight="1" x14ac:dyDescent="0.3">
      <c r="B18" s="74" t="str">
        <f>IF(ISNUMBER(VALUE(LEFT(Datos!B45,4))),MID(Datos!B45,6,100),Datos!B45)</f>
        <v>MARIA CAMILA RAMIREZ</v>
      </c>
      <c r="C18" s="75">
        <f>Datos!C45</f>
        <v>2356623.3599999999</v>
      </c>
      <c r="D18" s="76">
        <f>Datos!D45</f>
        <v>1348691.4</v>
      </c>
      <c r="E18" s="77">
        <f>Datos!E45</f>
        <v>0.57229823946071723</v>
      </c>
      <c r="F18" s="78">
        <f>Datos!G45</f>
        <v>22</v>
      </c>
      <c r="G18" s="78">
        <f>Datos!F45</f>
        <v>42</v>
      </c>
      <c r="H18" s="78">
        <f>Datos!I45</f>
        <v>20</v>
      </c>
      <c r="I18" s="97" t="str">
        <f>IF(Datos!E45&gt;=0.9,"🟢 EXCELENTE",IF(Datos!E45&gt;=0.7,"🟡 EN CAMINO",IF(Datos!E45&gt;=0.5,"🟠 ALERTA","🔴 CRÍTICO")))</f>
        <v>🟠 ALERTA</v>
      </c>
    </row>
    <row r="19" spans="2:9" ht="15.75" customHeight="1" x14ac:dyDescent="0.3">
      <c r="B19" s="79" t="str">
        <f>IF(ISNUMBER(VALUE(LEFT(Datos!B46,4))),MID(Datos!B46,6,100),Datos!B46)</f>
        <v>SORY BOLAÑOS</v>
      </c>
      <c r="C19" s="80">
        <f>Datos!C46</f>
        <v>1876992</v>
      </c>
      <c r="D19" s="81">
        <f>Datos!D46</f>
        <v>427028.41000000003</v>
      </c>
      <c r="E19" s="82">
        <f>Datos!E46</f>
        <v>0.22750678212800057</v>
      </c>
      <c r="F19" s="83">
        <f>Datos!G46</f>
        <v>15</v>
      </c>
      <c r="G19" s="83">
        <f>Datos!F46</f>
        <v>42</v>
      </c>
      <c r="H19" s="83">
        <f>Datos!I46</f>
        <v>27</v>
      </c>
      <c r="I19" s="98" t="str">
        <f>IF(Datos!E46&gt;=0.9,"🟢 EXCELENTE",IF(Datos!E46&gt;=0.7,"🟡 EN CAMINO",IF(Datos!E46&gt;=0.5,"🟠 ALERTA","🔴 CRÍTICO")))</f>
        <v>🔴 CRÍTICO</v>
      </c>
    </row>
    <row r="20" spans="2:9" ht="15.75" customHeight="1" x14ac:dyDescent="0.3">
      <c r="B20" s="74" t="str">
        <f>IF(ISNUMBER(VALUE(LEFT(Datos!B47,4))),MID(Datos!B47,6,100),Datos!B47)</f>
        <v>ANA CRISTINA MAGUIÑA ORTIZ</v>
      </c>
      <c r="C20" s="75">
        <f>Datos!C47</f>
        <v>3320977.92</v>
      </c>
      <c r="D20" s="76">
        <f>Datos!D47</f>
        <v>749429.94</v>
      </c>
      <c r="E20" s="77">
        <f>Datos!E47</f>
        <v>0.22566543893191557</v>
      </c>
      <c r="F20" s="78">
        <f>Datos!G47</f>
        <v>14</v>
      </c>
      <c r="G20" s="78">
        <f>Datos!F47</f>
        <v>42</v>
      </c>
      <c r="H20" s="78">
        <f>Datos!I47</f>
        <v>28</v>
      </c>
      <c r="I20" s="97" t="str">
        <f>IF(Datos!E47&gt;=0.9,"🟢 EXCELENTE",IF(Datos!E47&gt;=0.7,"🟡 EN CAMINO",IF(Datos!E47&gt;=0.5,"🟠 ALERTA","🔴 CRÍTICO")))</f>
        <v>🔴 CRÍTICO</v>
      </c>
    </row>
    <row r="21" spans="2:9" ht="15.75" customHeight="1" x14ac:dyDescent="0.3">
      <c r="B21" s="79" t="str">
        <f>IF(ISNUMBER(VALUE(LEFT(Datos!B48,4))),MID(Datos!B48,6,100),Datos!B48)</f>
        <v>LIZETH FERNANDA GUZMAN</v>
      </c>
      <c r="C21" s="80">
        <f>Datos!C48</f>
        <v>2558400</v>
      </c>
      <c r="D21" s="81">
        <f>Datos!D48</f>
        <v>1079712.29</v>
      </c>
      <c r="E21" s="82">
        <f>Datos!E48</f>
        <v>0.42202637976860541</v>
      </c>
      <c r="F21" s="83">
        <f>Datos!G48</f>
        <v>23</v>
      </c>
      <c r="G21" s="83">
        <f>Datos!F48</f>
        <v>42</v>
      </c>
      <c r="H21" s="83">
        <f>Datos!I48</f>
        <v>19</v>
      </c>
      <c r="I21" s="98" t="str">
        <f>IF(Datos!E48&gt;=0.9,"🟢 EXCELENTE",IF(Datos!E48&gt;=0.7,"🟡 EN CAMINO",IF(Datos!E48&gt;=0.5,"🟠 ALERTA","🔴 CRÍTICO")))</f>
        <v>🔴 CRÍTICO</v>
      </c>
    </row>
    <row r="22" spans="2:9" ht="18" customHeight="1" x14ac:dyDescent="0.3">
      <c r="B22" s="84" t="s">
        <v>97</v>
      </c>
      <c r="C22" s="99">
        <f>Datos!C45+Datos!C46+Datos!C47+Datos!C48</f>
        <v>10112993.279999999</v>
      </c>
      <c r="D22" s="86">
        <f>Datos!D45+Datos!D46+Datos!D47+Datos!D48</f>
        <v>3604862.04</v>
      </c>
      <c r="E22" s="87">
        <f>D22/C22</f>
        <v>0.35645846290921301</v>
      </c>
      <c r="F22" s="99">
        <f>Datos!G45+Datos!G46+Datos!G47+Datos!G48</f>
        <v>74</v>
      </c>
      <c r="G22" s="99">
        <f>Datos!F45+Datos!F46+Datos!F47+Datos!F48</f>
        <v>168</v>
      </c>
      <c r="H22" s="88">
        <f>SUM(H18:H21)</f>
        <v>94</v>
      </c>
      <c r="I22" s="87">
        <f>F22/G22</f>
        <v>0.44047619047619047</v>
      </c>
    </row>
    <row r="23" spans="2:9" ht="7.5" customHeight="1" x14ac:dyDescent="0.3"/>
    <row r="24" spans="2:9" ht="18" customHeight="1" x14ac:dyDescent="0.3">
      <c r="B24" s="159" t="s">
        <v>109</v>
      </c>
      <c r="C24" s="138"/>
      <c r="D24" s="138"/>
      <c r="E24" s="138"/>
      <c r="F24" s="138"/>
      <c r="G24" s="138"/>
      <c r="H24" s="138"/>
      <c r="I24" s="138"/>
    </row>
    <row r="25" spans="2:9" ht="15.75" customHeight="1" x14ac:dyDescent="0.3">
      <c r="B25" s="157" t="str">
        <f>"▶ Venta del día en progreso: "&amp;TEXT((Datos!D45+Datos!D46+Datos!D47+Datos!D48)/(Datos!C45+Datos!C46+Datos!C47+Datos!C48),"0.0%")&amp;" del presupuesto."</f>
        <v>▶ Venta del día en progreso: 35.6% del presupuesto.</v>
      </c>
      <c r="C25" s="138"/>
      <c r="D25" s="138"/>
      <c r="E25" s="138"/>
      <c r="F25" s="138"/>
      <c r="G25" s="138"/>
      <c r="H25" s="138"/>
      <c r="I25" s="138"/>
    </row>
    <row r="26" spans="2:9" ht="15.75" customHeight="1" x14ac:dyDescent="0.3">
      <c r="B26" s="154" t="str">
        <f>IF(COUNTIF(Datos!H45:H48,"&gt;="&amp;1)=4,"✔ "&amp;4&amp;" de 4 asesores cumplen meta. Excedente de "&amp;ABS((Datos!G45+Datos!G46+Datos!G47+Datos!G48)-(Datos!F45+Datos!F46+Datos!F47+Datos!F48))&amp;" pedidos sobre el objetivo.","▶ "&amp;COUNTIF(Datos!H45:H48,"&gt;="&amp;1)&amp;" de 4 asesores cumplen meta. Pendiente cerrar "&amp;MAX(0,(Datos!F45+Datos!F46+Datos!F47+Datos!F48)-(Datos!G45+Datos!G46+Datos!G47+Datos!G48))&amp;" pedidos.")</f>
        <v>▶ 0 de 4 asesores cumplen meta. Pendiente cerrar 94 pedidos.</v>
      </c>
      <c r="C26" s="138"/>
      <c r="D26" s="138"/>
      <c r="E26" s="138"/>
      <c r="F26" s="138"/>
      <c r="G26" s="138"/>
      <c r="H26" s="138"/>
      <c r="I26" s="138"/>
    </row>
    <row r="27" spans="2:9" ht="15.75" customHeight="1" x14ac:dyDescent="0.3">
      <c r="B27" s="157" t="str">
        <f>"★ Mejor asesor: "&amp;IF(ISNUMBER(VALUE(LEFT(INDEX(Datos!B45:B48,MATCH(MAX(Datos!D45:D48),Datos!D45:D48,0)),4))),MID(INDEX(Datos!B45:B48,MATCH(MAX(Datos!D45:D48),Datos!D45:D48,0)),6,100),INDEX(Datos!B45:B48,MATCH(MAX(Datos!D45:D48),Datos!D45:D48,0)))&amp;" con "&amp;TEXT(MAX(Datos!D45:D48),"$#,##0")&amp;" y "&amp;INDEX(Datos!G45:G48,MATCH(MAX(Datos!D45:D48),Datos!D45:D48,0))&amp;" facturas."</f>
        <v>★ Mejor asesor: MARIA CAMILA RAMIREZ con $1,348,691 y 22 facturas.</v>
      </c>
      <c r="C27" s="138"/>
      <c r="D27" s="138"/>
      <c r="E27" s="138"/>
      <c r="F27" s="138"/>
      <c r="G27" s="138"/>
      <c r="H27" s="138"/>
      <c r="I27" s="138"/>
    </row>
    <row r="28" spans="2:9" ht="15.75" customHeight="1" x14ac:dyDescent="0.3">
      <c r="B28" s="154" t="str">
        <f>"⚠ Asesor con menor venta: "&amp;IF(ISNUMBER(VALUE(LEFT(INDEX(Datos!B45:B48,MATCH(MIN(Datos!D45:D48),Datos!D45:D48,0)),4))),MID(INDEX(Datos!B45:B48,MATCH(MIN(Datos!D45:D48),Datos!D45:D48,0)),6,100),INDEX(Datos!B45:B48,MATCH(MIN(Datos!D45:D48),Datos!D45:D48,0)))&amp;" con "&amp;TEXT(MIN(Datos!D45:D48),"$#,##0")&amp;" ("&amp;TEXT(MIN(Datos!E45:E48),"0.0%")&amp;" del ppto)."</f>
        <v>⚠ Asesor con menor venta: SORY BOLAÑOS con $427,028 (22.6% del ppto).</v>
      </c>
      <c r="C28" s="138"/>
      <c r="D28" s="138"/>
      <c r="E28" s="138"/>
      <c r="F28" s="138"/>
      <c r="G28" s="138"/>
      <c r="H28" s="138"/>
      <c r="I28" s="138"/>
    </row>
  </sheetData>
  <mergeCells count="24">
    <mergeCell ref="B1:I3"/>
    <mergeCell ref="H11:I11"/>
    <mergeCell ref="D7:E9"/>
    <mergeCell ref="B4:I4"/>
    <mergeCell ref="B7:C9"/>
    <mergeCell ref="F6:G6"/>
    <mergeCell ref="B11:C11"/>
    <mergeCell ref="D11:E11"/>
    <mergeCell ref="F11:G11"/>
    <mergeCell ref="B28:I28"/>
    <mergeCell ref="B6:C6"/>
    <mergeCell ref="H7:I9"/>
    <mergeCell ref="D12:E14"/>
    <mergeCell ref="B24:I24"/>
    <mergeCell ref="H12:I14"/>
    <mergeCell ref="B26:I26"/>
    <mergeCell ref="B27:I27"/>
    <mergeCell ref="D6:E6"/>
    <mergeCell ref="F7:G9"/>
    <mergeCell ref="B12:C14"/>
    <mergeCell ref="H6:I6"/>
    <mergeCell ref="B25:I25"/>
    <mergeCell ref="B16:I16"/>
    <mergeCell ref="F12:G1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I53"/>
  <sheetViews>
    <sheetView workbookViewId="0"/>
  </sheetViews>
  <sheetFormatPr baseColWidth="10" defaultColWidth="8.88671875" defaultRowHeight="14.4" x14ac:dyDescent="0.3"/>
  <cols>
    <col min="1" max="1" width="3" customWidth="1"/>
    <col min="2" max="2" width="6" customWidth="1"/>
    <col min="3" max="3" width="30" customWidth="1"/>
    <col min="4" max="4" width="22" customWidth="1"/>
    <col min="5" max="5" width="16" customWidth="1"/>
    <col min="6" max="6" width="14" customWidth="1"/>
    <col min="7" max="7" width="12" customWidth="1"/>
    <col min="8" max="9" width="14" customWidth="1"/>
    <col min="10" max="10" width="3" customWidth="1"/>
  </cols>
  <sheetData>
    <row r="1" spans="2:9" x14ac:dyDescent="0.3">
      <c r="B1" s="155" t="s">
        <v>126</v>
      </c>
      <c r="C1" s="138"/>
      <c r="D1" s="138"/>
      <c r="E1" s="138"/>
      <c r="F1" s="138"/>
      <c r="G1" s="138"/>
      <c r="H1" s="138"/>
      <c r="I1" s="138"/>
    </row>
    <row r="2" spans="2:9" x14ac:dyDescent="0.3">
      <c r="B2" s="138"/>
      <c r="C2" s="138"/>
      <c r="D2" s="138"/>
      <c r="E2" s="138"/>
      <c r="F2" s="138"/>
      <c r="G2" s="138"/>
      <c r="H2" s="138"/>
      <c r="I2" s="138"/>
    </row>
    <row r="3" spans="2:9" x14ac:dyDescent="0.3">
      <c r="B3" s="138"/>
      <c r="C3" s="138"/>
      <c r="D3" s="138"/>
      <c r="E3" s="138"/>
      <c r="F3" s="138"/>
      <c r="G3" s="138"/>
      <c r="H3" s="138"/>
      <c r="I3" s="138"/>
    </row>
    <row r="4" spans="2:9" ht="18" customHeight="1" x14ac:dyDescent="0.3">
      <c r="B4" s="153" t="s">
        <v>127</v>
      </c>
      <c r="C4" s="138"/>
      <c r="D4" s="138"/>
      <c r="E4" s="138"/>
      <c r="F4" s="138"/>
      <c r="G4" s="138"/>
      <c r="H4" s="138"/>
      <c r="I4" s="138"/>
    </row>
    <row r="5" spans="2:9" ht="19.5" customHeight="1" x14ac:dyDescent="0.3">
      <c r="B5" s="49" t="s">
        <v>128</v>
      </c>
      <c r="C5" s="49" t="s">
        <v>85</v>
      </c>
      <c r="D5" s="49" t="s">
        <v>0</v>
      </c>
      <c r="E5" s="49" t="s">
        <v>87</v>
      </c>
      <c r="F5" s="49" t="s">
        <v>77</v>
      </c>
      <c r="G5" s="49" t="s">
        <v>78</v>
      </c>
      <c r="H5" s="49" t="s">
        <v>80</v>
      </c>
      <c r="I5" s="49" t="s">
        <v>129</v>
      </c>
    </row>
    <row r="6" spans="2:9" ht="15.75" customHeight="1" x14ac:dyDescent="0.3">
      <c r="B6" s="100" t="s">
        <v>130</v>
      </c>
      <c r="C6" s="74"/>
      <c r="D6" s="74"/>
      <c r="E6" s="101"/>
      <c r="F6" s="77"/>
      <c r="G6" s="78"/>
      <c r="H6" s="77"/>
      <c r="I6" s="97"/>
    </row>
    <row r="7" spans="2:9" ht="15.75" customHeight="1" x14ac:dyDescent="0.3">
      <c r="B7" s="102" t="s">
        <v>131</v>
      </c>
      <c r="C7" s="79"/>
      <c r="D7" s="79"/>
      <c r="E7" s="103"/>
      <c r="F7" s="82"/>
      <c r="G7" s="83"/>
      <c r="H7" s="82"/>
      <c r="I7" s="98"/>
    </row>
    <row r="8" spans="2:9" ht="15.75" customHeight="1" x14ac:dyDescent="0.3">
      <c r="B8" s="100" t="s">
        <v>132</v>
      </c>
      <c r="C8" s="74"/>
      <c r="D8" s="74"/>
      <c r="E8" s="101"/>
      <c r="F8" s="77"/>
      <c r="G8" s="78"/>
      <c r="H8" s="77"/>
      <c r="I8" s="97"/>
    </row>
    <row r="9" spans="2:9" ht="15.75" customHeight="1" x14ac:dyDescent="0.3">
      <c r="B9" s="57" t="s">
        <v>133</v>
      </c>
      <c r="C9" s="79"/>
      <c r="D9" s="79"/>
      <c r="E9" s="103"/>
      <c r="F9" s="82"/>
      <c r="G9" s="83"/>
      <c r="H9" s="82"/>
      <c r="I9" s="98"/>
    </row>
    <row r="10" spans="2:9" ht="15.75" customHeight="1" x14ac:dyDescent="0.3">
      <c r="B10" s="51" t="s">
        <v>134</v>
      </c>
      <c r="C10" s="74"/>
      <c r="D10" s="74"/>
      <c r="E10" s="101"/>
      <c r="F10" s="77"/>
      <c r="G10" s="78"/>
      <c r="H10" s="77"/>
      <c r="I10" s="97"/>
    </row>
    <row r="11" spans="2:9" ht="15.75" customHeight="1" x14ac:dyDescent="0.3">
      <c r="B11" s="57" t="s">
        <v>135</v>
      </c>
      <c r="C11" s="79"/>
      <c r="D11" s="79"/>
      <c r="E11" s="103"/>
      <c r="F11" s="82"/>
      <c r="G11" s="83"/>
      <c r="H11" s="82"/>
      <c r="I11" s="98"/>
    </row>
    <row r="12" spans="2:9" ht="15.75" customHeight="1" x14ac:dyDescent="0.3">
      <c r="B12" s="51" t="s">
        <v>136</v>
      </c>
      <c r="C12" s="74"/>
      <c r="D12" s="74"/>
      <c r="E12" s="101"/>
      <c r="F12" s="77"/>
      <c r="G12" s="78"/>
      <c r="H12" s="77"/>
      <c r="I12" s="97"/>
    </row>
    <row r="13" spans="2:9" ht="15.75" customHeight="1" x14ac:dyDescent="0.3">
      <c r="B13" s="57" t="s">
        <v>137</v>
      </c>
      <c r="C13" s="79"/>
      <c r="D13" s="79"/>
      <c r="E13" s="103"/>
      <c r="F13" s="82"/>
      <c r="G13" s="83"/>
      <c r="H13" s="82"/>
      <c r="I13" s="98"/>
    </row>
    <row r="14" spans="2:9" ht="15.75" customHeight="1" x14ac:dyDescent="0.3">
      <c r="B14" s="51" t="s">
        <v>138</v>
      </c>
      <c r="C14" s="74"/>
      <c r="D14" s="74"/>
      <c r="E14" s="101"/>
      <c r="F14" s="77"/>
      <c r="G14" s="78"/>
      <c r="H14" s="77"/>
      <c r="I14" s="97"/>
    </row>
    <row r="15" spans="2:9" ht="15.75" customHeight="1" x14ac:dyDescent="0.3">
      <c r="B15" s="57" t="s">
        <v>139</v>
      </c>
      <c r="C15" s="79"/>
      <c r="D15" s="79"/>
      <c r="E15" s="103"/>
      <c r="F15" s="82"/>
      <c r="G15" s="83"/>
      <c r="H15" s="82"/>
      <c r="I15" s="98"/>
    </row>
    <row r="16" spans="2:9" ht="15.75" customHeight="1" x14ac:dyDescent="0.3">
      <c r="B16" s="51" t="s">
        <v>140</v>
      </c>
      <c r="C16" s="74"/>
      <c r="D16" s="74"/>
      <c r="E16" s="101"/>
      <c r="F16" s="77"/>
      <c r="G16" s="78"/>
      <c r="H16" s="77"/>
      <c r="I16" s="97"/>
    </row>
    <row r="17" spans="2:9" ht="15.75" customHeight="1" x14ac:dyDescent="0.3">
      <c r="B17" s="57" t="s">
        <v>141</v>
      </c>
      <c r="C17" s="79"/>
      <c r="D17" s="79"/>
      <c r="E17" s="103"/>
      <c r="F17" s="82"/>
      <c r="G17" s="83"/>
      <c r="H17" s="82"/>
      <c r="I17" s="98"/>
    </row>
    <row r="18" spans="2:9" ht="15.75" customHeight="1" x14ac:dyDescent="0.3">
      <c r="B18" s="51" t="s">
        <v>142</v>
      </c>
      <c r="C18" s="74"/>
      <c r="D18" s="74"/>
      <c r="E18" s="101"/>
      <c r="F18" s="77"/>
      <c r="G18" s="78"/>
      <c r="H18" s="77"/>
      <c r="I18" s="97"/>
    </row>
    <row r="19" spans="2:9" ht="15.75" customHeight="1" x14ac:dyDescent="0.3">
      <c r="B19" s="57" t="s">
        <v>143</v>
      </c>
      <c r="C19" s="79"/>
      <c r="D19" s="79"/>
      <c r="E19" s="103"/>
      <c r="F19" s="82"/>
      <c r="G19" s="83"/>
      <c r="H19" s="82"/>
      <c r="I19" s="98"/>
    </row>
    <row r="20" spans="2:9" ht="15.75" customHeight="1" x14ac:dyDescent="0.3">
      <c r="B20" s="51" t="s">
        <v>144</v>
      </c>
      <c r="C20" s="74"/>
      <c r="D20" s="74"/>
      <c r="E20" s="101"/>
      <c r="F20" s="77"/>
      <c r="G20" s="78"/>
      <c r="H20" s="77"/>
      <c r="I20" s="97"/>
    </row>
    <row r="21" spans="2:9" ht="15.75" customHeight="1" x14ac:dyDescent="0.3">
      <c r="B21" s="57" t="s">
        <v>145</v>
      </c>
      <c r="C21" s="79"/>
      <c r="D21" s="79"/>
      <c r="E21" s="103"/>
      <c r="F21" s="82"/>
      <c r="G21" s="83"/>
      <c r="H21" s="82"/>
      <c r="I21" s="98"/>
    </row>
    <row r="22" spans="2:9" ht="15.75" customHeight="1" x14ac:dyDescent="0.3">
      <c r="B22" s="51" t="s">
        <v>146</v>
      </c>
      <c r="C22" s="74"/>
      <c r="D22" s="74"/>
      <c r="E22" s="101"/>
      <c r="F22" s="77"/>
      <c r="G22" s="78"/>
      <c r="H22" s="77"/>
      <c r="I22" s="97"/>
    </row>
    <row r="23" spans="2:9" ht="15.75" customHeight="1" x14ac:dyDescent="0.3">
      <c r="B23" s="57" t="s">
        <v>147</v>
      </c>
      <c r="C23" s="79"/>
      <c r="D23" s="79"/>
      <c r="E23" s="103"/>
      <c r="F23" s="82"/>
      <c r="G23" s="83"/>
      <c r="H23" s="82"/>
      <c r="I23" s="98"/>
    </row>
    <row r="24" spans="2:9" ht="15.75" customHeight="1" x14ac:dyDescent="0.3">
      <c r="B24" s="51" t="s">
        <v>148</v>
      </c>
      <c r="C24" s="74"/>
      <c r="D24" s="74"/>
      <c r="E24" s="101"/>
      <c r="F24" s="77"/>
      <c r="G24" s="78"/>
      <c r="H24" s="77"/>
      <c r="I24" s="97"/>
    </row>
    <row r="25" spans="2:9" ht="15.75" customHeight="1" x14ac:dyDescent="0.3">
      <c r="B25" s="57" t="s">
        <v>149</v>
      </c>
      <c r="C25" s="79"/>
      <c r="D25" s="79"/>
      <c r="E25" s="103"/>
      <c r="F25" s="82"/>
      <c r="G25" s="83"/>
      <c r="H25" s="82"/>
      <c r="I25" s="98"/>
    </row>
    <row r="26" spans="2:9" ht="15.75" customHeight="1" x14ac:dyDescent="0.3">
      <c r="B26" s="51" t="s">
        <v>150</v>
      </c>
      <c r="C26" s="74"/>
      <c r="D26" s="74"/>
      <c r="E26" s="101"/>
      <c r="F26" s="77"/>
      <c r="G26" s="78"/>
      <c r="H26" s="77"/>
      <c r="I26" s="97"/>
    </row>
    <row r="27" spans="2:9" ht="15.75" customHeight="1" x14ac:dyDescent="0.3">
      <c r="B27" s="57" t="s">
        <v>151</v>
      </c>
      <c r="C27" s="79"/>
      <c r="D27" s="79"/>
      <c r="E27" s="103"/>
      <c r="F27" s="82"/>
      <c r="G27" s="83"/>
      <c r="H27" s="82"/>
      <c r="I27" s="98"/>
    </row>
    <row r="28" spans="2:9" ht="15.75" customHeight="1" x14ac:dyDescent="0.3">
      <c r="B28" s="51" t="s">
        <v>152</v>
      </c>
      <c r="C28" s="74"/>
      <c r="D28" s="74"/>
      <c r="E28" s="101"/>
      <c r="F28" s="77"/>
      <c r="G28" s="78"/>
      <c r="H28" s="77"/>
      <c r="I28" s="97"/>
    </row>
    <row r="29" spans="2:9" ht="15.75" customHeight="1" x14ac:dyDescent="0.3">
      <c r="B29" s="57" t="s">
        <v>153</v>
      </c>
      <c r="C29" s="79"/>
      <c r="D29" s="79"/>
      <c r="E29" s="103"/>
      <c r="F29" s="82"/>
      <c r="G29" s="83"/>
      <c r="H29" s="82"/>
      <c r="I29" s="98"/>
    </row>
    <row r="30" spans="2:9" ht="15.75" customHeight="1" x14ac:dyDescent="0.3">
      <c r="B30" s="51" t="s">
        <v>154</v>
      </c>
      <c r="C30" s="74"/>
      <c r="D30" s="74"/>
      <c r="E30" s="101"/>
      <c r="F30" s="77"/>
      <c r="G30" s="78"/>
      <c r="H30" s="77"/>
      <c r="I30" s="97"/>
    </row>
    <row r="31" spans="2:9" ht="15.75" customHeight="1" x14ac:dyDescent="0.3">
      <c r="B31" s="57" t="s">
        <v>155</v>
      </c>
      <c r="C31" s="79"/>
      <c r="D31" s="79"/>
      <c r="E31" s="103"/>
      <c r="F31" s="82"/>
      <c r="G31" s="83"/>
      <c r="H31" s="82"/>
      <c r="I31" s="98"/>
    </row>
    <row r="32" spans="2:9" ht="15.75" customHeight="1" x14ac:dyDescent="0.3">
      <c r="B32" s="51" t="s">
        <v>156</v>
      </c>
      <c r="C32" s="74"/>
      <c r="D32" s="74"/>
      <c r="E32" s="101"/>
      <c r="F32" s="77"/>
      <c r="G32" s="78"/>
      <c r="H32" s="77"/>
      <c r="I32" s="97"/>
    </row>
    <row r="33" spans="2:9" ht="15.75" customHeight="1" x14ac:dyDescent="0.3">
      <c r="B33" s="57" t="s">
        <v>157</v>
      </c>
      <c r="C33" s="79"/>
      <c r="D33" s="79"/>
      <c r="E33" s="103"/>
      <c r="F33" s="82"/>
      <c r="G33" s="83"/>
      <c r="H33" s="82"/>
      <c r="I33" s="98"/>
    </row>
    <row r="34" spans="2:9" ht="15.75" customHeight="1" x14ac:dyDescent="0.3">
      <c r="B34" s="51" t="s">
        <v>158</v>
      </c>
      <c r="C34" s="74"/>
      <c r="D34" s="74"/>
      <c r="E34" s="101"/>
      <c r="F34" s="77"/>
      <c r="G34" s="78"/>
      <c r="H34" s="77"/>
      <c r="I34" s="97"/>
    </row>
    <row r="35" spans="2:9" ht="15.75" customHeight="1" x14ac:dyDescent="0.3">
      <c r="B35" s="57" t="s">
        <v>159</v>
      </c>
      <c r="C35" s="79"/>
      <c r="D35" s="79"/>
      <c r="E35" s="103"/>
      <c r="F35" s="82"/>
      <c r="G35" s="83"/>
      <c r="H35" s="82"/>
      <c r="I35" s="98"/>
    </row>
    <row r="36" spans="2:9" ht="15.75" customHeight="1" x14ac:dyDescent="0.3">
      <c r="B36" s="51" t="s">
        <v>160</v>
      </c>
      <c r="C36" s="74"/>
      <c r="D36" s="74"/>
      <c r="E36" s="101"/>
      <c r="F36" s="77"/>
      <c r="G36" s="78"/>
      <c r="H36" s="77"/>
      <c r="I36" s="97"/>
    </row>
    <row r="37" spans="2:9" ht="15.75" customHeight="1" x14ac:dyDescent="0.3">
      <c r="B37" s="57" t="s">
        <v>161</v>
      </c>
      <c r="C37" s="79"/>
      <c r="D37" s="79"/>
      <c r="E37" s="103"/>
      <c r="F37" s="82"/>
      <c r="G37" s="83"/>
      <c r="H37" s="82"/>
      <c r="I37" s="98"/>
    </row>
    <row r="38" spans="2:9" ht="15.75" customHeight="1" x14ac:dyDescent="0.3">
      <c r="B38" s="51" t="s">
        <v>162</v>
      </c>
      <c r="C38" s="74"/>
      <c r="D38" s="74"/>
      <c r="E38" s="101"/>
      <c r="F38" s="77"/>
      <c r="G38" s="78"/>
      <c r="H38" s="77"/>
      <c r="I38" s="97"/>
    </row>
    <row r="39" spans="2:9" ht="15.75" customHeight="1" x14ac:dyDescent="0.3">
      <c r="B39" s="57" t="s">
        <v>163</v>
      </c>
      <c r="C39" s="79"/>
      <c r="D39" s="79"/>
      <c r="E39" s="103"/>
      <c r="F39" s="82"/>
      <c r="G39" s="83"/>
      <c r="H39" s="82"/>
      <c r="I39" s="98"/>
    </row>
    <row r="40" spans="2:9" ht="15.75" customHeight="1" x14ac:dyDescent="0.3">
      <c r="B40" s="51" t="s">
        <v>164</v>
      </c>
      <c r="C40" s="74"/>
      <c r="D40" s="74"/>
      <c r="E40" s="101"/>
      <c r="F40" s="77"/>
      <c r="G40" s="78"/>
      <c r="H40" s="77"/>
      <c r="I40" s="97"/>
    </row>
    <row r="41" spans="2:9" ht="15.75" customHeight="1" x14ac:dyDescent="0.3">
      <c r="B41" s="57" t="s">
        <v>165</v>
      </c>
      <c r="C41" s="79"/>
      <c r="D41" s="79"/>
      <c r="E41" s="103"/>
      <c r="F41" s="82"/>
      <c r="G41" s="83"/>
      <c r="H41" s="82"/>
      <c r="I41" s="98"/>
    </row>
    <row r="42" spans="2:9" ht="15.75" customHeight="1" x14ac:dyDescent="0.3">
      <c r="B42" s="51" t="s">
        <v>166</v>
      </c>
      <c r="C42" s="74"/>
      <c r="D42" s="74"/>
      <c r="E42" s="101"/>
      <c r="F42" s="77"/>
      <c r="G42" s="78"/>
      <c r="H42" s="77"/>
      <c r="I42" s="97"/>
    </row>
    <row r="43" spans="2:9" ht="15.75" customHeight="1" x14ac:dyDescent="0.3">
      <c r="B43" s="57" t="s">
        <v>167</v>
      </c>
      <c r="C43" s="79"/>
      <c r="D43" s="79"/>
      <c r="E43" s="103"/>
      <c r="F43" s="82"/>
      <c r="G43" s="83"/>
      <c r="H43" s="82"/>
      <c r="I43" s="98"/>
    </row>
    <row r="44" spans="2:9" ht="15.75" customHeight="1" x14ac:dyDescent="0.3">
      <c r="B44" s="51" t="s">
        <v>168</v>
      </c>
      <c r="C44" s="74"/>
      <c r="D44" s="74"/>
      <c r="E44" s="101"/>
      <c r="F44" s="77"/>
      <c r="G44" s="78"/>
      <c r="H44" s="77"/>
      <c r="I44" s="97"/>
    </row>
    <row r="45" spans="2:9" ht="15.75" customHeight="1" x14ac:dyDescent="0.3">
      <c r="B45" s="57" t="s">
        <v>169</v>
      </c>
      <c r="C45" s="79"/>
      <c r="D45" s="79"/>
      <c r="E45" s="103"/>
      <c r="F45" s="82"/>
      <c r="G45" s="83"/>
      <c r="H45" s="82"/>
      <c r="I45" s="98"/>
    </row>
    <row r="46" spans="2:9" ht="15.75" customHeight="1" x14ac:dyDescent="0.3">
      <c r="B46" s="51" t="s">
        <v>170</v>
      </c>
      <c r="C46" s="74"/>
      <c r="D46" s="74"/>
      <c r="E46" s="101"/>
      <c r="F46" s="77"/>
      <c r="G46" s="78"/>
      <c r="H46" s="77"/>
      <c r="I46" s="97"/>
    </row>
    <row r="47" spans="2:9" ht="15.75" customHeight="1" x14ac:dyDescent="0.3">
      <c r="B47" s="57" t="s">
        <v>171</v>
      </c>
      <c r="C47" s="79"/>
      <c r="D47" s="79"/>
      <c r="E47" s="103"/>
      <c r="F47" s="82"/>
      <c r="G47" s="83"/>
      <c r="H47" s="82"/>
      <c r="I47" s="98"/>
    </row>
    <row r="48" spans="2:9" ht="15.75" customHeight="1" x14ac:dyDescent="0.3">
      <c r="B48" s="51" t="s">
        <v>172</v>
      </c>
      <c r="C48" s="74"/>
      <c r="D48" s="74"/>
      <c r="E48" s="101"/>
      <c r="F48" s="77"/>
      <c r="G48" s="78"/>
      <c r="H48" s="77"/>
      <c r="I48" s="97"/>
    </row>
    <row r="49" spans="2:9" ht="15.75" customHeight="1" x14ac:dyDescent="0.3">
      <c r="B49" s="57" t="s">
        <v>173</v>
      </c>
      <c r="C49" s="79"/>
      <c r="D49" s="79"/>
      <c r="E49" s="103"/>
      <c r="F49" s="82"/>
      <c r="G49" s="83"/>
      <c r="H49" s="82"/>
      <c r="I49" s="98"/>
    </row>
    <row r="50" spans="2:9" ht="15.75" customHeight="1" x14ac:dyDescent="0.3">
      <c r="B50" s="51" t="s">
        <v>174</v>
      </c>
      <c r="C50" s="74"/>
      <c r="D50" s="74"/>
      <c r="E50" s="101"/>
      <c r="F50" s="77"/>
      <c r="G50" s="78"/>
      <c r="H50" s="77"/>
      <c r="I50" s="97"/>
    </row>
    <row r="51" spans="2:9" ht="15.75" customHeight="1" x14ac:dyDescent="0.3">
      <c r="B51" s="57" t="s">
        <v>175</v>
      </c>
      <c r="C51" s="79"/>
      <c r="D51" s="79"/>
      <c r="E51" s="103"/>
      <c r="F51" s="82"/>
      <c r="G51" s="83"/>
      <c r="H51" s="82"/>
      <c r="I51" s="98"/>
    </row>
    <row r="52" spans="2:9" ht="15.75" customHeight="1" x14ac:dyDescent="0.3">
      <c r="B52" s="51" t="s">
        <v>176</v>
      </c>
      <c r="C52" s="74"/>
      <c r="D52" s="74"/>
      <c r="E52" s="101"/>
      <c r="F52" s="77"/>
      <c r="G52" s="78"/>
      <c r="H52" s="77"/>
      <c r="I52" s="97"/>
    </row>
    <row r="53" spans="2:9" ht="15.75" customHeight="1" x14ac:dyDescent="0.3">
      <c r="B53" s="57" t="s">
        <v>177</v>
      </c>
      <c r="C53" s="79"/>
      <c r="D53" s="79"/>
      <c r="E53" s="103"/>
      <c r="F53" s="82"/>
      <c r="G53" s="83"/>
      <c r="H53" s="82"/>
      <c r="I53" s="98"/>
    </row>
  </sheetData>
  <mergeCells count="2">
    <mergeCell ref="B4:I4"/>
    <mergeCell ref="B1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Datos</vt:lpstr>
      <vt:lpstr>Dashboard General</vt:lpstr>
      <vt:lpstr>Detalle Asesores</vt:lpstr>
      <vt:lpstr>Sanin</vt:lpstr>
      <vt:lpstr>Casa Luker</vt:lpstr>
      <vt:lpstr>Colombina</vt:lpstr>
      <vt:lpstr>Tecnoquimicas</vt:lpstr>
      <vt:lpstr>Clientes Especiales</vt:lpstr>
      <vt:lpstr>Brinsa</vt:lpstr>
      <vt:lpstr>Colombina Helados</vt:lpstr>
      <vt:lpstr>Alimentos Polar</vt:lpstr>
      <vt:lpstr>Ranking Asesores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Nicolas Pabón</cp:lastModifiedBy>
  <dcterms:created xsi:type="dcterms:W3CDTF">2026-03-23T16:35:32Z</dcterms:created>
  <dcterms:modified xsi:type="dcterms:W3CDTF">2026-05-25T17:53:29Z</dcterms:modified>
</cp:coreProperties>
</file>