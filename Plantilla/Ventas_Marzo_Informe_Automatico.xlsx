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10" autoFilterDateGrouping="1"/>
  </bookViews>
  <sheets>
    <sheet name="Datos" sheetId="1" state="visible" r:id="rId1"/>
    <sheet name="Dashboard General" sheetId="2" state="visible" r:id="rId2"/>
    <sheet name="Detalle Asesores" sheetId="3" state="visible" r:id="rId3"/>
    <sheet name="Sanin" sheetId="4" state="visible" r:id="rId4"/>
    <sheet name="Casa Luker" sheetId="5" state="visible" r:id="rId5"/>
    <sheet name="Colombina" sheetId="6" state="visible" r:id="rId6"/>
    <sheet name="Tecnoquimicas" sheetId="7" state="visible" r:id="rId7"/>
    <sheet name="Clientes Especiales" sheetId="8" state="visible" r:id="rId8"/>
    <sheet name="Brinsa" sheetId="9" state="visible" r:id="rId9"/>
    <sheet name="Colombina Helados" sheetId="10" state="visible" r:id="rId10"/>
    <sheet name="Alimentos Polar" sheetId="11" state="visible" r:id="rId11"/>
    <sheet name="Ranking Asesores" sheetId="12" state="visible" r:id="rId12"/>
  </sheets>
  <externalReferences>
    <externalReference r:id="rId13"/>
  </externalReference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$&quot;\ * #,##0_-;\-&quot;$&quot;\ * #,##0_-;_-&quot;$&quot;\ * &quot;-&quot;??_-;_-@_-"/>
    <numFmt numFmtId="165" formatCode="&quot;$&quot;\ #,##0;[Red]\-&quot;$&quot;\ #,##0"/>
    <numFmt numFmtId="166" formatCode="0.0%"/>
    <numFmt numFmtId="167" formatCode="_-* #,##0_-;\-* #,##0_-;_-* &quot;-&quot;??_-;_-@_-"/>
    <numFmt numFmtId="168" formatCode="_-* #,##0.00_-;\-* #,##0.00_-;_-* &quot;-&quot;??_-;_-@_-"/>
  </numFmts>
  <fonts count="6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FFFFF"/>
      <sz val="18"/>
    </font>
    <font>
      <name val="Calibri"/>
      <family val="2"/>
      <color rgb="FF64748B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1D4ED8"/>
      <sz val="20"/>
    </font>
    <font>
      <name val="Calibri"/>
      <family val="2"/>
      <b val="1"/>
      <color rgb="FF0F2044"/>
      <sz val="20"/>
    </font>
    <font>
      <name val="Calibri"/>
      <family val="2"/>
      <b val="1"/>
      <color rgb="FFDC2626"/>
      <sz val="20"/>
    </font>
    <font>
      <name val="Calibri"/>
      <family val="2"/>
      <b val="1"/>
      <color rgb="FFD97706"/>
      <sz val="20"/>
    </font>
    <font>
      <name val="Calibri"/>
      <family val="2"/>
      <b val="1"/>
      <color rgb="FF0D9488"/>
      <sz val="14"/>
    </font>
    <font>
      <name val="Calibri"/>
      <family val="2"/>
      <b val="1"/>
      <color rgb="FFDC2626"/>
      <sz val="14"/>
    </font>
    <font>
      <name val="Calibri"/>
      <family val="2"/>
      <b val="1"/>
      <color rgb="FF1D4ED8"/>
      <sz val="14"/>
    </font>
    <font>
      <name val="Calibri"/>
      <family val="2"/>
      <b val="1"/>
      <color rgb="FFFFFFFF"/>
      <sz val="12"/>
    </font>
    <font>
      <name val="Calibri"/>
      <family val="2"/>
      <b val="1"/>
      <color rgb="FF1D4ED8"/>
      <sz val="10"/>
    </font>
    <font>
      <name val="Calibri"/>
      <family val="2"/>
      <color rgb="FF1E293B"/>
      <sz val="10"/>
    </font>
    <font>
      <name val="Calibri"/>
      <family val="2"/>
      <b val="1"/>
      <color rgb="FF1E293B"/>
      <sz val="10"/>
    </font>
    <font>
      <name val="Calibri"/>
      <family val="2"/>
      <b val="1"/>
      <color rgb="FFD97706"/>
      <sz val="10"/>
    </font>
    <font>
      <name val="Calibri"/>
      <family val="2"/>
      <b val="1"/>
      <color rgb="FF0D9488"/>
      <sz val="10"/>
    </font>
    <font>
      <name val="Calibri"/>
      <family val="2"/>
      <b val="1"/>
      <color rgb="FFDC2626"/>
      <sz val="10"/>
    </font>
    <font>
      <name val="Calibri"/>
      <family val="2"/>
      <b val="1"/>
      <color rgb="FF0F2044"/>
      <sz val="10"/>
    </font>
    <font>
      <name val="Calibri"/>
      <family val="2"/>
      <b val="1"/>
      <color rgb="FF059669"/>
      <sz val="10"/>
    </font>
    <font>
      <name val="Calibri"/>
      <family val="2"/>
      <b val="1"/>
      <color rgb="FF7C3AED"/>
      <sz val="10"/>
    </font>
    <font>
      <name val="Calibri"/>
      <family val="2"/>
      <b val="1"/>
      <color rgb="FFDB2777"/>
      <sz val="10"/>
    </font>
    <font>
      <name val="Calibri"/>
      <family val="2"/>
      <color rgb="FF64748B"/>
      <sz val="9"/>
    </font>
    <font>
      <name val="Calibri"/>
      <family val="2"/>
      <b val="1"/>
      <color rgb="FF1D4ED8"/>
      <sz val="9"/>
    </font>
    <font>
      <name val="Calibri"/>
      <family val="2"/>
      <color rgb="FF1E293B"/>
      <sz val="9"/>
    </font>
    <font>
      <name val="Calibri"/>
      <family val="2"/>
      <b val="1"/>
      <color rgb="FF1E293B"/>
      <sz val="9"/>
    </font>
    <font>
      <name val="Calibri"/>
      <family val="2"/>
      <b val="1"/>
      <color rgb="FFD97706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0D9488"/>
      <sz val="9"/>
    </font>
    <font>
      <name val="Calibri"/>
      <family val="2"/>
      <b val="1"/>
      <color rgb="FFDC2626"/>
      <sz val="9"/>
    </font>
    <font>
      <name val="Calibri"/>
      <family val="2"/>
      <b val="1"/>
      <color rgb="FF0F2044"/>
      <sz val="9"/>
    </font>
    <font>
      <name val="Calibri"/>
      <family val="2"/>
      <b val="1"/>
      <color rgb="FF059669"/>
      <sz val="9"/>
    </font>
    <font>
      <name val="Calibri"/>
      <family val="2"/>
      <b val="1"/>
      <color rgb="FF7C3AED"/>
      <sz val="9"/>
    </font>
    <font>
      <name val="Calibri"/>
      <family val="2"/>
      <b val="1"/>
      <color rgb="FFDB2777"/>
      <sz val="9"/>
    </font>
    <font>
      <name val="Calibri"/>
      <family val="2"/>
      <b val="1"/>
      <color rgb="FFFFFFFF"/>
      <sz val="16"/>
    </font>
    <font>
      <name val="Calibri"/>
      <family val="2"/>
      <b val="1"/>
      <color rgb="FF1D4ED8"/>
      <sz val="18"/>
    </font>
    <font>
      <name val="Calibri"/>
      <family val="2"/>
      <b val="1"/>
      <color rgb="FF0F2044"/>
      <sz val="18"/>
    </font>
    <font>
      <name val="Calibri"/>
      <family val="2"/>
      <b val="1"/>
      <color rgb="FFDC2626"/>
      <sz val="18"/>
    </font>
    <font>
      <name val="Calibri"/>
      <family val="2"/>
      <b val="1"/>
      <color rgb="FFD97706"/>
      <sz val="18"/>
    </font>
    <font>
      <name val="Calibri"/>
      <family val="2"/>
      <b val="1"/>
      <color rgb="FF0D9488"/>
      <sz val="13"/>
    </font>
    <font>
      <name val="Calibri"/>
      <family val="2"/>
      <b val="1"/>
      <color rgb="FFDC2626"/>
      <sz val="13"/>
    </font>
    <font>
      <name val="Calibri"/>
      <family val="2"/>
      <b val="1"/>
      <color rgb="FF1D4ED8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1D4ED8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D97706"/>
      <sz val="13"/>
    </font>
    <font>
      <name val="Calibri"/>
      <family val="2"/>
      <b val="1"/>
      <color rgb="FFD97706"/>
      <sz val="11"/>
    </font>
    <font>
      <name val="Calibri"/>
      <family val="2"/>
      <b val="1"/>
      <color rgb="FF0D9488"/>
      <sz val="18"/>
    </font>
    <font>
      <name val="Calibri"/>
      <family val="2"/>
      <b val="1"/>
      <color rgb="FF0D9488"/>
      <sz val="11"/>
    </font>
    <font>
      <name val="Calibri"/>
      <family val="2"/>
      <b val="1"/>
      <color rgb="FFDC2626"/>
      <sz val="11"/>
    </font>
    <font>
      <name val="Calibri"/>
      <family val="2"/>
      <b val="1"/>
      <color rgb="FF0F2044"/>
      <sz val="13"/>
    </font>
    <font>
      <name val="Calibri"/>
      <family val="2"/>
      <b val="1"/>
      <color rgb="FF0F2044"/>
      <sz val="11"/>
    </font>
    <font>
      <name val="Calibri"/>
      <family val="2"/>
      <b val="1"/>
      <color rgb="FF059669"/>
      <sz val="18"/>
    </font>
    <font>
      <name val="Calibri"/>
      <family val="2"/>
      <b val="1"/>
      <color rgb="FF059669"/>
      <sz val="13"/>
    </font>
    <font>
      <name val="Calibri"/>
      <family val="2"/>
      <b val="1"/>
      <color rgb="FF059669"/>
      <sz val="11"/>
    </font>
    <font>
      <name val="Calibri"/>
      <family val="2"/>
      <b val="1"/>
      <color rgb="FF7C3AED"/>
      <sz val="18"/>
    </font>
    <font>
      <name val="Calibri"/>
      <family val="2"/>
      <b val="1"/>
      <color rgb="FF7C3AED"/>
      <sz val="13"/>
    </font>
    <font>
      <name val="Calibri"/>
      <family val="2"/>
      <b val="1"/>
      <color rgb="FF7C3AED"/>
      <sz val="11"/>
    </font>
    <font>
      <name val="Calibri"/>
      <family val="2"/>
      <b val="1"/>
      <color rgb="FFDB2777"/>
      <sz val="18"/>
    </font>
    <font>
      <name val="Calibri"/>
      <family val="2"/>
      <b val="1"/>
      <color rgb="FFDB2777"/>
      <sz val="13"/>
    </font>
    <font>
      <name val="Calibri"/>
      <family val="2"/>
      <b val="1"/>
      <color rgb="FFDB2777"/>
      <sz val="11"/>
    </font>
    <font>
      <name val="Calibri"/>
      <family val="2"/>
      <color theme="1"/>
      <sz val="11"/>
      <scheme val="minor"/>
    </font>
  </fonts>
  <fills count="2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F2044"/>
      </patternFill>
    </fill>
    <fill>
      <patternFill patternType="solid">
        <fgColor rgb="FFF1F5F9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B2777"/>
      </patternFill>
    </fill>
    <fill>
      <patternFill patternType="solid">
        <fgColor theme="3" tint="-0.499984740745262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/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/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/>
      <bottom/>
      <diagonal/>
    </border>
  </borders>
  <cellStyleXfs count="3">
    <xf numFmtId="0" fontId="66" fillId="0" borderId="0"/>
    <xf numFmtId="9" fontId="66" fillId="0" borderId="0"/>
    <xf numFmtId="43" fontId="66" fillId="0" borderId="0"/>
  </cellStyleXfs>
  <cellXfs count="2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3" fillId="0" borderId="8" pivotButton="0" quotePrefix="0" xfId="0"/>
    <xf numFmtId="165" fontId="0" fillId="0" borderId="8" pivotButton="0" quotePrefix="0" xfId="0"/>
    <xf numFmtId="164" fontId="3" fillId="0" borderId="9" pivotButton="0" quotePrefix="0" xfId="0"/>
    <xf numFmtId="9" fontId="3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9" fontId="3" fillId="0" borderId="10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164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/>
    </xf>
    <xf numFmtId="0" fontId="3" fillId="0" borderId="14" pivotButton="0" quotePrefix="0" xfId="0"/>
    <xf numFmtId="165" fontId="0" fillId="0" borderId="14" pivotButton="0" quotePrefix="0" xfId="0"/>
    <xf numFmtId="164" fontId="3" fillId="0" borderId="15" pivotButton="0" quotePrefix="0" xfId="0"/>
    <xf numFmtId="9" fontId="3" fillId="0" borderId="15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9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3" fillId="0" borderId="20" pivotButton="0" quotePrefix="0" xfId="0"/>
    <xf numFmtId="165" fontId="0" fillId="0" borderId="20" pivotButton="0" quotePrefix="0" xfId="0"/>
    <xf numFmtId="164" fontId="3" fillId="0" borderId="21" pivotButton="0" quotePrefix="0" xfId="0"/>
    <xf numFmtId="9" fontId="3" fillId="0" borderId="21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9" fontId="3" fillId="0" borderId="2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4" fillId="3" borderId="20" pivotButton="0" quotePrefix="0" xfId="0"/>
    <xf numFmtId="165" fontId="5" fillId="3" borderId="20" pivotButton="0" quotePrefix="0" xfId="0"/>
    <xf numFmtId="164" fontId="4" fillId="3" borderId="21" pivotButton="0" quotePrefix="0" xfId="0"/>
    <xf numFmtId="9" fontId="4" fillId="3" borderId="21" applyAlignment="1" pivotButton="0" quotePrefix="0" xfId="0">
      <alignment horizontal="center"/>
    </xf>
    <xf numFmtId="0" fontId="4" fillId="3" borderId="21" applyAlignment="1" pivotButton="0" quotePrefix="0" xfId="0">
      <alignment horizontal="center"/>
    </xf>
    <xf numFmtId="9" fontId="4" fillId="3" borderId="22" applyAlignment="1" pivotButton="0" quotePrefix="0" xfId="0">
      <alignment horizontal="center"/>
    </xf>
    <xf numFmtId="0" fontId="4" fillId="3" borderId="23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4" fillId="3" borderId="25" pivotButton="0" quotePrefix="0" xfId="0"/>
    <xf numFmtId="165" fontId="5" fillId="3" borderId="25" pivotButton="0" quotePrefix="0" xfId="0"/>
    <xf numFmtId="164" fontId="4" fillId="3" borderId="26" pivotButton="0" quotePrefix="0" xfId="0"/>
    <xf numFmtId="9" fontId="4" fillId="3" borderId="26" applyAlignment="1" pivotButton="0" quotePrefix="0" xfId="0">
      <alignment horizontal="center"/>
    </xf>
    <xf numFmtId="0" fontId="4" fillId="3" borderId="26" applyAlignment="1" pivotButton="0" quotePrefix="0" xfId="0">
      <alignment horizontal="center"/>
    </xf>
    <xf numFmtId="9" fontId="4" fillId="3" borderId="27" applyAlignment="1" pivotButton="0" quotePrefix="0" xfId="0">
      <alignment horizontal="center"/>
    </xf>
    <xf numFmtId="0" fontId="4" fillId="3" borderId="28" applyAlignment="1" pivotButton="0" quotePrefix="0" xfId="0">
      <alignment horizontal="center"/>
    </xf>
    <xf numFmtId="0" fontId="4" fillId="3" borderId="14" pivotButton="0" quotePrefix="0" xfId="0"/>
    <xf numFmtId="165" fontId="5" fillId="3" borderId="14" pivotButton="0" quotePrefix="0" xfId="0"/>
    <xf numFmtId="164" fontId="4" fillId="3" borderId="15" pivotButton="0" quotePrefix="0" xfId="0"/>
    <xf numFmtId="9" fontId="4" fillId="3" borderId="15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9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0" fontId="3" fillId="0" borderId="29" pivotButton="0" quotePrefix="0" xfId="0"/>
    <xf numFmtId="165" fontId="0" fillId="0" borderId="29" pivotButton="0" quotePrefix="0" xfId="0"/>
    <xf numFmtId="164" fontId="3" fillId="0" borderId="30" pivotButton="0" quotePrefix="0" xfId="0"/>
    <xf numFmtId="9" fontId="3" fillId="0" borderId="30" applyAlignment="1" pivotButton="0" quotePrefix="0" xfId="0">
      <alignment horizontal="center"/>
    </xf>
    <xf numFmtId="0" fontId="3" fillId="0" borderId="30" applyAlignment="1" pivotButton="0" quotePrefix="0" xfId="0">
      <alignment horizontal="center"/>
    </xf>
    <xf numFmtId="9" fontId="3" fillId="0" borderId="31" applyAlignment="1" pivotButton="0" quotePrefix="0" xfId="0">
      <alignment horizontal="center"/>
    </xf>
    <xf numFmtId="0" fontId="3" fillId="0" borderId="32" applyAlignment="1" pivotButton="0" quotePrefix="0" xfId="0">
      <alignment horizontal="center"/>
    </xf>
    <xf numFmtId="165" fontId="0" fillId="0" borderId="0" pivotButton="0" quotePrefix="0" xfId="0"/>
    <xf numFmtId="0" fontId="1" fillId="0" borderId="14" applyAlignment="1" pivotButton="0" quotePrefix="0" xfId="0">
      <alignment horizontal="center"/>
    </xf>
    <xf numFmtId="165" fontId="0" fillId="0" borderId="15" pivotButton="0" quotePrefix="0" xfId="0"/>
    <xf numFmtId="164" fontId="1" fillId="0" borderId="15" applyAlignment="1" pivotButton="0" quotePrefix="0" xfId="0">
      <alignment horizontal="center"/>
    </xf>
    <xf numFmtId="9" fontId="1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9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8" fillId="6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3" fontId="18" fillId="5" borderId="0" applyAlignment="1" pivotButton="0" quotePrefix="0" xfId="0">
      <alignment horizontal="right" vertical="center"/>
    </xf>
    <xf numFmtId="4" fontId="19" fillId="5" borderId="0" applyAlignment="1" pivotButton="0" quotePrefix="0" xfId="0">
      <alignment horizontal="right" vertical="center"/>
    </xf>
    <xf numFmtId="166" fontId="20" fillId="5" borderId="0" applyAlignment="1" pivotButton="0" quotePrefix="0" xfId="0">
      <alignment horizontal="center" vertical="center"/>
    </xf>
    <xf numFmtId="3" fontId="18" fillId="5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center" vertical="center"/>
    </xf>
    <xf numFmtId="3" fontId="18" fillId="13" borderId="0" applyAlignment="1" pivotButton="0" quotePrefix="0" xfId="0">
      <alignment horizontal="right" vertical="center"/>
    </xf>
    <xf numFmtId="4" fontId="19" fillId="13" borderId="0" applyAlignment="1" pivotButton="0" quotePrefix="0" xfId="0">
      <alignment horizontal="right" vertical="center"/>
    </xf>
    <xf numFmtId="166" fontId="20" fillId="13" borderId="0" applyAlignment="1" pivotButton="0" quotePrefix="0" xfId="0">
      <alignment horizontal="center" vertical="center"/>
    </xf>
    <xf numFmtId="3" fontId="18" fillId="13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23" fillId="16" borderId="0" applyAlignment="1" pivotButton="0" quotePrefix="0" xfId="0">
      <alignment horizontal="left" vertical="center"/>
    </xf>
    <xf numFmtId="0" fontId="24" fillId="17" borderId="0" applyAlignment="1" pivotButton="0" quotePrefix="0" xfId="0">
      <alignment horizontal="left" vertical="center"/>
    </xf>
    <xf numFmtId="0" fontId="25" fillId="18" borderId="0" applyAlignment="1" pivotButton="0" quotePrefix="0" xfId="0">
      <alignment horizontal="left" vertical="center"/>
    </xf>
    <xf numFmtId="0" fontId="26" fillId="19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3" fontId="8" fillId="4" borderId="0" applyAlignment="1" pivotButton="0" quotePrefix="0" xfId="0">
      <alignment horizontal="right" vertical="center"/>
    </xf>
    <xf numFmtId="4" fontId="8" fillId="4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0" fontId="28" fillId="11" borderId="0" applyAlignment="1" pivotButton="0" quotePrefix="0" xfId="0">
      <alignment horizontal="left" vertical="center"/>
    </xf>
    <xf numFmtId="0" fontId="29" fillId="5" borderId="0" applyAlignment="1" pivotButton="0" quotePrefix="0" xfId="0">
      <alignment horizontal="left" vertical="center"/>
    </xf>
    <xf numFmtId="3" fontId="29" fillId="5" borderId="0" applyAlignment="1" pivotButton="0" quotePrefix="0" xfId="0">
      <alignment horizontal="right" vertical="center"/>
    </xf>
    <xf numFmtId="4" fontId="30" fillId="5" borderId="0" applyAlignment="1" pivotButton="0" quotePrefix="0" xfId="0">
      <alignment horizontal="right" vertical="center"/>
    </xf>
    <xf numFmtId="166" fontId="31" fillId="5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9" fillId="13" borderId="0" applyAlignment="1" pivotButton="0" quotePrefix="0" xfId="0">
      <alignment horizontal="left" vertical="center"/>
    </xf>
    <xf numFmtId="3" fontId="29" fillId="13" borderId="0" applyAlignment="1" pivotButton="0" quotePrefix="0" xfId="0">
      <alignment horizontal="right" vertical="center"/>
    </xf>
    <xf numFmtId="4" fontId="30" fillId="13" borderId="0" applyAlignment="1" pivotButton="0" quotePrefix="0" xfId="0">
      <alignment horizontal="right" vertical="center"/>
    </xf>
    <xf numFmtId="166" fontId="31" fillId="13" borderId="0" applyAlignment="1" pivotButton="0" quotePrefix="0" xfId="0">
      <alignment horizontal="center" vertical="center"/>
    </xf>
    <xf numFmtId="0" fontId="29" fillId="13" borderId="0" applyAlignment="1" pivotButton="0" quotePrefix="0" xfId="0">
      <alignment horizontal="center" vertical="center"/>
    </xf>
    <xf numFmtId="0" fontId="32" fillId="4" borderId="0" applyAlignment="1" pivotButton="0" quotePrefix="0" xfId="0">
      <alignment horizontal="left" vertical="center"/>
    </xf>
    <xf numFmtId="3" fontId="32" fillId="4" borderId="0" applyAlignment="1" pivotButton="0" quotePrefix="0" xfId="0">
      <alignment horizontal="right" vertical="center"/>
    </xf>
    <xf numFmtId="4" fontId="32" fillId="4" borderId="0" applyAlignment="1" pivotButton="0" quotePrefix="0" xfId="0">
      <alignment horizontal="right" vertical="center"/>
    </xf>
    <xf numFmtId="166" fontId="32" fillId="4" borderId="0" applyAlignment="1" pivotButton="0" quotePrefix="0" xfId="0">
      <alignment horizontal="center" vertical="center"/>
    </xf>
    <xf numFmtId="0" fontId="32" fillId="4" borderId="0" applyAlignment="1" pivotButton="0" quotePrefix="0" xfId="0">
      <alignment horizontal="center" vertical="center"/>
    </xf>
    <xf numFmtId="0" fontId="31" fillId="12" borderId="0" applyAlignment="1" pivotButton="0" quotePrefix="0" xfId="0">
      <alignment horizontal="left" vertical="center"/>
    </xf>
    <xf numFmtId="0" fontId="33" fillId="14" borderId="0" applyAlignment="1" pivotButton="0" quotePrefix="0" xfId="0">
      <alignment horizontal="left" vertical="center"/>
    </xf>
    <xf numFmtId="0" fontId="34" fillId="15" borderId="0" applyAlignment="1" pivotButton="0" quotePrefix="0" xfId="0">
      <alignment horizontal="left" vertical="center"/>
    </xf>
    <xf numFmtId="0" fontId="35" fillId="16" borderId="0" applyAlignment="1" pivotButton="0" quotePrefix="0" xfId="0">
      <alignment horizontal="left" vertical="center"/>
    </xf>
    <xf numFmtId="0" fontId="36" fillId="17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38" fillId="19" borderId="0" applyAlignment="1" pivotButton="0" quotePrefix="0" xfId="0">
      <alignment horizontal="left" vertical="center"/>
    </xf>
    <xf numFmtId="0" fontId="32" fillId="6" borderId="0" applyAlignment="1" pivotButton="0" quotePrefix="0" xfId="0">
      <alignment horizontal="center" vertical="center"/>
    </xf>
    <xf numFmtId="0" fontId="36" fillId="5" borderId="0" applyAlignment="1" pivotButton="0" quotePrefix="0" xfId="0">
      <alignment horizontal="center" vertical="center"/>
    </xf>
    <xf numFmtId="0" fontId="36" fillId="13" borderId="0" applyAlignment="1" pivotButton="0" quotePrefix="0" xfId="0">
      <alignment horizontal="center" vertical="center"/>
    </xf>
    <xf numFmtId="3" fontId="32" fillId="4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4" fontId="36" fillId="5" borderId="0" applyAlignment="1" pivotButton="0" quotePrefix="0" xfId="0">
      <alignment horizontal="right" vertical="center"/>
    </xf>
    <xf numFmtId="0" fontId="19" fillId="13" borderId="0" applyAlignment="1" pivotButton="0" quotePrefix="0" xfId="0">
      <alignment horizontal="center" vertical="center"/>
    </xf>
    <xf numFmtId="4" fontId="36" fillId="13" borderId="0" applyAlignment="1" pivotButton="0" quotePrefix="0" xfId="0">
      <alignment horizontal="right" vertical="center"/>
    </xf>
    <xf numFmtId="0" fontId="32" fillId="23" borderId="0" applyAlignment="1" pivotButton="0" quotePrefix="0" xfId="0">
      <alignment horizontal="left" vertical="center"/>
    </xf>
    <xf numFmtId="0" fontId="0" fillId="23" borderId="0" pivotButton="0" quotePrefix="0" xfId="0"/>
    <xf numFmtId="0" fontId="5" fillId="23" borderId="0" applyAlignment="1" pivotButton="0" quotePrefix="0" xfId="0">
      <alignment horizontal="center"/>
    </xf>
    <xf numFmtId="9" fontId="5" fillId="23" borderId="0" applyAlignment="1" pivotButton="0" quotePrefix="0" xfId="1">
      <alignment horizontal="center"/>
    </xf>
    <xf numFmtId="167" fontId="0" fillId="0" borderId="0" pivotButton="0" quotePrefix="0" xfId="2"/>
    <xf numFmtId="168" fontId="0" fillId="0" borderId="0" pivotButton="0" quotePrefix="0" xfId="0"/>
    <xf numFmtId="164" fontId="3" fillId="0" borderId="1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4" pivotButton="0" quotePrefix="0" xfId="0"/>
    <xf numFmtId="0" fontId="6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8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27" fillId="5" borderId="0" applyAlignment="1" pivotButton="0" quotePrefix="0" xfId="0">
      <alignment horizontal="center" vertical="center"/>
    </xf>
    <xf numFmtId="0" fontId="29" fillId="13" borderId="0" applyAlignment="1" pivotButton="0" quotePrefix="0" xfId="0">
      <alignment horizontal="left" vertical="center" wrapText="1"/>
    </xf>
    <xf numFmtId="0" fontId="39" fillId="4" borderId="0" applyAlignment="1" pivotButton="0" quotePrefix="0" xfId="0">
      <alignment horizontal="center" vertical="center"/>
    </xf>
    <xf numFmtId="0" fontId="32" fillId="4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left" vertical="center" wrapText="1"/>
    </xf>
    <xf numFmtId="0" fontId="41" fillId="7" borderId="0" applyAlignment="1" pivotButton="0" quotePrefix="0" xfId="0">
      <alignment horizontal="center" vertical="center"/>
    </xf>
    <xf numFmtId="0" fontId="49" fillId="4" borderId="0" applyAlignment="1" pivotButton="0" quotePrefix="0" xfId="0">
      <alignment horizontal="center" vertical="center"/>
    </xf>
    <xf numFmtId="0" fontId="32" fillId="6" borderId="0" applyAlignment="1" pivotButton="0" quotePrefix="0" xfId="0">
      <alignment horizontal="center" vertical="center"/>
    </xf>
    <xf numFmtId="0" fontId="43" fillId="7" borderId="0" applyAlignment="1" pivotButton="0" quotePrefix="0" xfId="0">
      <alignment horizontal="center" vertical="center"/>
    </xf>
    <xf numFmtId="0" fontId="45" fillId="7" borderId="0" applyAlignment="1" pivotButton="0" quotePrefix="0" xfId="0">
      <alignment horizontal="center" vertical="center"/>
    </xf>
    <xf numFmtId="0" fontId="47" fillId="7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48" fillId="11" borderId="0" applyAlignment="1" pivotButton="0" quotePrefix="0" xfId="0">
      <alignment horizontal="center" vertical="center"/>
    </xf>
    <xf numFmtId="0" fontId="40" fillId="7" borderId="0" applyAlignment="1" pivotButton="0" quotePrefix="0" xfId="0">
      <alignment horizontal="center" vertical="center"/>
    </xf>
    <xf numFmtId="0" fontId="32" fillId="8" borderId="0" applyAlignment="1" pivotButton="0" quotePrefix="0" xfId="0">
      <alignment horizontal="center" vertical="center"/>
    </xf>
    <xf numFmtId="0" fontId="42" fillId="7" borderId="0" applyAlignment="1" pivotButton="0" quotePrefix="0" xfId="0">
      <alignment horizontal="center" vertical="center"/>
    </xf>
    <xf numFmtId="0" fontId="44" fillId="7" borderId="0" applyAlignment="1" pivotButton="0" quotePrefix="0" xfId="0">
      <alignment horizontal="center" vertical="center"/>
    </xf>
    <xf numFmtId="0" fontId="32" fillId="9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46" fillId="7" borderId="0" applyAlignment="1" pivotButton="0" quotePrefix="0" xfId="0">
      <alignment horizontal="center" vertical="center"/>
    </xf>
    <xf numFmtId="0" fontId="32" fillId="12" borderId="0" applyAlignment="1" pivotButton="0" quotePrefix="0" xfId="0">
      <alignment horizontal="center" vertical="center"/>
    </xf>
    <xf numFmtId="0" fontId="51" fillId="12" borderId="0" applyAlignment="1" pivotButton="0" quotePrefix="0" xfId="0">
      <alignment horizontal="center" vertical="center"/>
    </xf>
    <xf numFmtId="0" fontId="50" fillId="7" borderId="0" applyAlignment="1" pivotButton="0" quotePrefix="0" xfId="0">
      <alignment horizontal="center" vertical="center"/>
    </xf>
    <xf numFmtId="0" fontId="32" fillId="14" borderId="0" applyAlignment="1" pivotButton="0" quotePrefix="0" xfId="0">
      <alignment horizontal="center" vertical="center"/>
    </xf>
    <xf numFmtId="0" fontId="53" fillId="14" borderId="0" applyAlignment="1" pivotButton="0" quotePrefix="0" xfId="0">
      <alignment horizontal="center" vertical="center"/>
    </xf>
    <xf numFmtId="0" fontId="52" fillId="7" borderId="0" applyAlignment="1" pivotButton="0" quotePrefix="0" xfId="0">
      <alignment horizontal="center" vertical="center"/>
    </xf>
    <xf numFmtId="0" fontId="32" fillId="15" borderId="0" applyAlignment="1" pivotButton="0" quotePrefix="0" xfId="0">
      <alignment horizontal="center" vertical="center"/>
    </xf>
    <xf numFmtId="0" fontId="54" fillId="15" borderId="0" applyAlignment="1" pivotButton="0" quotePrefix="0" xfId="0">
      <alignment horizontal="center" vertical="center"/>
    </xf>
    <xf numFmtId="0" fontId="32" fillId="16" borderId="0" applyAlignment="1" pivotButton="0" quotePrefix="0" xfId="0">
      <alignment horizontal="center" vertical="center"/>
    </xf>
    <xf numFmtId="0" fontId="56" fillId="16" borderId="0" applyAlignment="1" pivotButton="0" quotePrefix="0" xfId="0">
      <alignment horizontal="center" vertical="center"/>
    </xf>
    <xf numFmtId="0" fontId="55" fillId="7" borderId="0" applyAlignment="1" pivotButton="0" quotePrefix="0" xfId="0">
      <alignment horizontal="center" vertical="center"/>
    </xf>
    <xf numFmtId="0" fontId="32" fillId="20" borderId="0" applyAlignment="1" pivotButton="0" quotePrefix="0" xfId="0">
      <alignment horizontal="center" vertical="center"/>
    </xf>
    <xf numFmtId="0" fontId="32" fillId="17" borderId="0" applyAlignment="1" pivotButton="0" quotePrefix="0" xfId="0">
      <alignment horizontal="center" vertical="center"/>
    </xf>
    <xf numFmtId="0" fontId="59" fillId="17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7" borderId="0" applyAlignment="1" pivotButton="0" quotePrefix="0" xfId="0">
      <alignment horizontal="center" vertical="center"/>
    </xf>
    <xf numFmtId="0" fontId="32" fillId="21" borderId="0" applyAlignment="1" pivotButton="0" quotePrefix="0" xfId="0">
      <alignment horizontal="center" vertical="center"/>
    </xf>
    <xf numFmtId="0" fontId="32" fillId="18" borderId="0" applyAlignment="1" pivotButton="0" quotePrefix="0" xfId="0">
      <alignment horizontal="center" vertical="center"/>
    </xf>
    <xf numFmtId="0" fontId="62" fillId="18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7" borderId="0" applyAlignment="1" pivotButton="0" quotePrefix="0" xfId="0">
      <alignment horizontal="center" vertical="center"/>
    </xf>
    <xf numFmtId="0" fontId="32" fillId="22" borderId="0" applyAlignment="1" pivotButton="0" quotePrefix="0" xfId="0">
      <alignment horizontal="center" vertical="center"/>
    </xf>
    <xf numFmtId="0" fontId="65" fillId="19" borderId="0" applyAlignment="1" pivotButton="0" quotePrefix="0" xfId="0">
      <alignment horizontal="center" vertical="center"/>
    </xf>
    <xf numFmtId="0" fontId="64" fillId="7" borderId="0" applyAlignment="1" pivotButton="0" quotePrefix="0" xfId="0">
      <alignment horizontal="center" vertical="center"/>
    </xf>
    <xf numFmtId="0" fontId="63" fillId="7" borderId="0" applyAlignment="1" pivotButton="0" quotePrefix="0" xfId="0">
      <alignment horizontal="center" vertical="center"/>
    </xf>
    <xf numFmtId="0" fontId="32" fillId="19" borderId="0" applyAlignment="1" pivotButton="0" quotePrefix="0" xfId="0">
      <alignment horizontal="center" vertical="center"/>
    </xf>
    <xf numFmtId="165" fontId="0" fillId="0" borderId="8" pivotButton="0" quotePrefix="0" xfId="0"/>
    <xf numFmtId="167" fontId="0" fillId="0" borderId="0" pivotButton="0" quotePrefix="0" xfId="2"/>
    <xf numFmtId="168" fontId="0" fillId="0" borderId="0" pivotButton="0" quotePrefix="0" xfId="0"/>
    <xf numFmtId="165" fontId="0" fillId="0" borderId="14" pivotButton="0" quotePrefix="0" xfId="0"/>
    <xf numFmtId="165" fontId="0" fillId="0" borderId="20" pivotButton="0" quotePrefix="0" xfId="0"/>
    <xf numFmtId="165" fontId="5" fillId="3" borderId="20" pivotButton="0" quotePrefix="0" xfId="0"/>
    <xf numFmtId="165" fontId="5" fillId="3" borderId="25" pivotButton="0" quotePrefix="0" xfId="0"/>
    <xf numFmtId="165" fontId="5" fillId="3" borderId="14" pivotButton="0" quotePrefix="0" xfId="0"/>
    <xf numFmtId="165" fontId="0" fillId="0" borderId="29" pivotButton="0" quotePrefix="0" xfId="0"/>
    <xf numFmtId="165" fontId="0" fillId="0" borderId="0" pivotButton="0" quotePrefix="0" xfId="0"/>
    <xf numFmtId="165" fontId="0" fillId="0" borderId="15" pivotButton="0" quotePrefix="0" xfId="0"/>
    <xf numFmtId="166" fontId="20" fillId="5" borderId="0" applyAlignment="1" pivotButton="0" quotePrefix="0" xfId="0">
      <alignment horizontal="center" vertical="center"/>
    </xf>
    <xf numFmtId="166" fontId="20" fillId="13" borderId="0" applyAlignment="1" pivotButton="0" quotePrefix="0" xfId="0">
      <alignment horizontal="center" vertical="center"/>
    </xf>
    <xf numFmtId="166" fontId="8" fillId="4" borderId="0" applyAlignment="1" pivotButton="0" quotePrefix="0" xfId="0">
      <alignment horizontal="center" vertical="center"/>
    </xf>
    <xf numFmtId="166" fontId="31" fillId="5" borderId="0" applyAlignment="1" pivotButton="0" quotePrefix="0" xfId="0">
      <alignment horizontal="center" vertical="center"/>
    </xf>
    <xf numFmtId="166" fontId="31" fillId="13" borderId="0" applyAlignment="1" pivotButton="0" quotePrefix="0" xfId="0">
      <alignment horizontal="center" vertical="center"/>
    </xf>
    <xf numFmtId="166" fontId="32" fillId="4" borderId="0" applyAlignment="1" pivotButton="0" quotePrefix="0" xfId="0">
      <alignment horizontal="center" vertical="center"/>
    </xf>
  </cellXfs>
  <cellStyles count="3">
    <cellStyle name="Normal" xfId="0" builtinId="0"/>
    <cellStyle name="Porcentaje" xfId="1" builtinId="5"/>
    <cellStyle name="Millares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Janus%20I5\Downloads\Ventas%20y%20pedidos_export_20260507_120928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ja1"/>
      <sheetName val="data"/>
    </sheetNames>
    <sheetDataSet>
      <sheetData sheetId="0">
        <row r="4">
          <cell r="A4" t="str">
            <v>1108 CRISTIAN COTAZO</v>
          </cell>
          <cell r="B4">
            <v>5</v>
          </cell>
        </row>
        <row r="5">
          <cell r="A5" t="str">
            <v>1109 NAVIA LOPEZ HAROLD</v>
          </cell>
          <cell r="B5">
            <v>10</v>
          </cell>
        </row>
        <row r="6">
          <cell r="A6" t="str">
            <v>1404 JHON JAIME SANCHEZ</v>
          </cell>
          <cell r="B6">
            <v>21</v>
          </cell>
        </row>
        <row r="7">
          <cell r="A7" t="str">
            <v>1406 KEVIN ALEXANDER ORTIZ BADOS</v>
          </cell>
          <cell r="B7">
            <v>21</v>
          </cell>
        </row>
        <row r="8">
          <cell r="A8" t="str">
            <v>1407 SANTIAGO OTERO</v>
          </cell>
          <cell r="B8">
            <v>22</v>
          </cell>
        </row>
        <row r="9">
          <cell r="A9" t="str">
            <v>1410 JUAN MANUEL SILVA</v>
          </cell>
          <cell r="B9">
            <v>33</v>
          </cell>
        </row>
        <row r="10">
          <cell r="A10" t="str">
            <v>1411 BETANIA PEÑA</v>
          </cell>
          <cell r="B10">
            <v>26</v>
          </cell>
        </row>
        <row r="11">
          <cell r="A11" t="str">
            <v>1412 JAIRO RUIZ</v>
          </cell>
          <cell r="B11">
            <v>28</v>
          </cell>
        </row>
        <row r="12">
          <cell r="A12" t="str">
            <v>1416 JOSE LUIS ARTEAGA</v>
          </cell>
          <cell r="B12">
            <v>10</v>
          </cell>
        </row>
        <row r="13">
          <cell r="A13" t="str">
            <v>1417 AREVALO DUARTE CARLOS ALBERTO</v>
          </cell>
          <cell r="B13">
            <v>18</v>
          </cell>
        </row>
        <row r="14">
          <cell r="A14" t="str">
            <v>2001 LEYDI CAROLINA VICTORIA OJEDA</v>
          </cell>
          <cell r="B14">
            <v>15</v>
          </cell>
        </row>
        <row r="15">
          <cell r="A15" t="str">
            <v>2003 MAYI KATERINE PEREZ ORTIZ</v>
          </cell>
          <cell r="B15">
            <v>24</v>
          </cell>
        </row>
        <row r="16">
          <cell r="A16" t="str">
            <v>2004 YUDI ANDREA MORALES BURBANO</v>
          </cell>
          <cell r="B16">
            <v>21</v>
          </cell>
        </row>
        <row r="17">
          <cell r="A17" t="str">
            <v>2006 DAVID ALEXANDER PERDOMO CANTERO</v>
          </cell>
          <cell r="B17">
            <v>22</v>
          </cell>
        </row>
        <row r="18">
          <cell r="A18" t="str">
            <v>4002 JUAN CAMILO SOTELO</v>
          </cell>
          <cell r="B18">
            <v>23</v>
          </cell>
        </row>
        <row r="19">
          <cell r="A19" t="str">
            <v>4006 LINA TRUJILLO</v>
          </cell>
          <cell r="B19">
            <v>25</v>
          </cell>
        </row>
        <row r="20">
          <cell r="A20" t="str">
            <v>4007 ANGELA AMPUDIA MOLINA</v>
          </cell>
          <cell r="B20">
            <v>19</v>
          </cell>
        </row>
        <row r="21">
          <cell r="A21" t="str">
            <v>4009 STEPHANIE MUNÑOZ</v>
          </cell>
          <cell r="B21">
            <v>16</v>
          </cell>
        </row>
        <row r="22">
          <cell r="A22" t="str">
            <v>6001 SUSANA NOGUERA</v>
          </cell>
          <cell r="B22">
            <v>19</v>
          </cell>
        </row>
        <row r="23">
          <cell r="A23" t="str">
            <v>6002 STEFANY ALEJANDRA VILLAREAL</v>
          </cell>
          <cell r="B23">
            <v>13</v>
          </cell>
        </row>
        <row r="24">
          <cell r="A24" t="str">
            <v>6003 MAURICIO VIVAS RUIZ</v>
          </cell>
          <cell r="B24">
            <v>24</v>
          </cell>
        </row>
        <row r="25">
          <cell r="A25" t="str">
            <v>6006 SANTIAGO IMBACHI JOAQUI</v>
          </cell>
          <cell r="B25">
            <v>17</v>
          </cell>
        </row>
        <row r="26">
          <cell r="A26" t="str">
            <v>6007 MEYER MUÑOZ</v>
          </cell>
          <cell r="B26">
            <v>20</v>
          </cell>
        </row>
        <row r="27">
          <cell r="A27" t="str">
            <v>6009 FABIO VERGARA</v>
          </cell>
          <cell r="B27">
            <v>22</v>
          </cell>
        </row>
        <row r="28">
          <cell r="A28" t="str">
            <v>6010 ALEJANDRO CIFUENTES GAMBOA</v>
          </cell>
          <cell r="B28">
            <v>16</v>
          </cell>
        </row>
        <row r="29">
          <cell r="A29" t="str">
            <v>9001 VICTOR MANUEL GEMBUEL YANDI</v>
          </cell>
          <cell r="B29">
            <v>15</v>
          </cell>
        </row>
        <row r="30">
          <cell r="A30" t="str">
            <v>9002 FERNANDA LOPEZ URREA</v>
          </cell>
          <cell r="B30">
            <v>26</v>
          </cell>
        </row>
        <row r="31">
          <cell r="A31" t="str">
            <v>9003  JUAN CAMILO PITO</v>
          </cell>
          <cell r="B31">
            <v>20</v>
          </cell>
        </row>
        <row r="32">
          <cell r="A32" t="str">
            <v>9004 VICTOR CIFUENTES</v>
          </cell>
          <cell r="B32">
            <v>19</v>
          </cell>
        </row>
        <row r="33">
          <cell r="A33" t="str">
            <v>9006 LAURA INES GARCIA</v>
          </cell>
          <cell r="B33">
            <v>13</v>
          </cell>
        </row>
        <row r="34">
          <cell r="A34" t="str">
            <v>9007 MARIA CRISTINA DIAZ</v>
          </cell>
          <cell r="B34">
            <v>17</v>
          </cell>
        </row>
        <row r="35">
          <cell r="A35" t="str">
            <v>9008 DORIS ROSAS MONCADA</v>
          </cell>
          <cell r="B35">
            <v>13</v>
          </cell>
        </row>
        <row r="36">
          <cell r="A36" t="str">
            <v>9009 FREYDER SEBASTIAN ROSERO GOMEZ</v>
          </cell>
          <cell r="B36">
            <v>19</v>
          </cell>
        </row>
        <row r="37">
          <cell r="A37" t="str">
            <v>9025 ANDERSON PAJOY</v>
          </cell>
          <cell r="B37">
            <v>1</v>
          </cell>
        </row>
        <row r="38">
          <cell r="A38" t="str">
            <v>9040 ANGIE PAOLA CHAGUENDO</v>
          </cell>
          <cell r="B38">
            <v>9</v>
          </cell>
        </row>
        <row r="39">
          <cell r="A39" t="str">
            <v>9041 NICOL SOFIA CRUZ FAJARDO</v>
          </cell>
          <cell r="B39">
            <v>10</v>
          </cell>
        </row>
        <row r="40">
          <cell r="A40" t="str">
            <v>9042 LEYDI CAROLINA ZUÑIGA CASTILLO</v>
          </cell>
          <cell r="B40">
            <v>12</v>
          </cell>
        </row>
        <row r="41">
          <cell r="A41" t="str">
            <v>9044 ALEXANDRA ERAZO</v>
          </cell>
          <cell r="B41">
            <v>12</v>
          </cell>
        </row>
        <row r="42">
          <cell r="A42" t="str">
            <v>9045 DIANA XIMENA SALAZAR</v>
          </cell>
          <cell r="B42">
            <v>15</v>
          </cell>
        </row>
        <row r="43">
          <cell r="A43" t="str">
            <v>9046 LUIS ALFONSO CAMAYO</v>
          </cell>
          <cell r="B43">
            <v>12</v>
          </cell>
        </row>
        <row r="44">
          <cell r="A44" t="str">
            <v>9047 JUAN CARLOS MORALES</v>
          </cell>
          <cell r="B44">
            <v>9</v>
          </cell>
        </row>
        <row r="45">
          <cell r="A45" t="str">
            <v>9048 ESTEBAN IMBACHI</v>
          </cell>
          <cell r="B45">
            <v>10</v>
          </cell>
        </row>
        <row r="46">
          <cell r="A46" t="str">
            <v>9050 MARIA CAMILA RAMIREZ</v>
          </cell>
          <cell r="B46">
            <v>24</v>
          </cell>
        </row>
        <row r="47">
          <cell r="A47" t="str">
            <v>9051 SORY BOLAÑOS</v>
          </cell>
          <cell r="B47">
            <v>17</v>
          </cell>
        </row>
        <row r="48">
          <cell r="A48" t="str">
            <v>9053 LIZETH FERNANDA GUZMAN</v>
          </cell>
          <cell r="B48">
            <v>22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G2" sqref="G2"/>
    </sheetView>
  </sheetViews>
  <sheetFormatPr baseColWidth="10" defaultColWidth="8.88671875" defaultRowHeight="14.4"/>
  <cols>
    <col width="19.88671875" customWidth="1" style="137" min="1" max="1"/>
    <col width="36.88671875" customWidth="1" style="137" min="2" max="2"/>
    <col width="17" bestFit="1" customWidth="1" style="137" min="3" max="3"/>
    <col width="14" bestFit="1" customWidth="1" style="137" min="4" max="4"/>
    <col width="13.21875" customWidth="1" style="137" min="5" max="5"/>
    <col width="9.6640625" customWidth="1" style="137" min="7" max="7"/>
    <col width="12.6640625" customWidth="1" style="137" min="8" max="8"/>
    <col width="7.21875" customWidth="1" style="137" min="9" max="9"/>
    <col width="17.44140625" customWidth="1" style="137" min="10" max="10"/>
    <col width="14" bestFit="1" customWidth="1" style="137" min="11" max="11"/>
    <col width="14.77734375" bestFit="1" customWidth="1" style="137" min="12" max="12"/>
    <col width="13.77734375" bestFit="1" customWidth="1" style="137" min="13" max="13"/>
  </cols>
  <sheetData>
    <row r="1" ht="51" customHeight="1" s="137" thickBot="1">
      <c r="A1" s="1" t="inlineStr">
        <is>
          <t>Unidad de Negocio</t>
        </is>
      </c>
      <c r="B1" s="2" t="inlineStr">
        <is>
          <t>Asesor Comercial</t>
        </is>
      </c>
      <c r="C1" s="3" t="inlineStr">
        <is>
          <t>Ppto Dia</t>
        </is>
      </c>
      <c r="D1" s="4" t="inlineStr">
        <is>
          <t>Venta Dia</t>
        </is>
      </c>
      <c r="E1" s="4" t="inlineStr">
        <is>
          <t>Cumplimiento Dia</t>
        </is>
      </c>
      <c r="F1" s="5" t="inlineStr">
        <is>
          <t>Objetivo Plan 35</t>
        </is>
      </c>
      <c r="G1" s="5" t="inlineStr">
        <is>
          <t>Numero de facturas</t>
        </is>
      </c>
      <c r="H1" s="6" t="inlineStr">
        <is>
          <t>Cumplimiento Plan 35</t>
        </is>
      </c>
      <c r="I1" s="7" t="inlineStr">
        <is>
          <t>Falto</t>
        </is>
      </c>
      <c r="J1" s="8" t="inlineStr">
        <is>
          <t>Total Venta Unidad</t>
        </is>
      </c>
    </row>
    <row r="2" ht="16.2" customHeight="1" s="137" thickBot="1">
      <c r="A2" s="9" t="inlineStr">
        <is>
          <t>Colombina Helados</t>
        </is>
      </c>
      <c r="B2" s="10" t="inlineStr">
        <is>
          <t>1108 CRISTIAN COTAZO</t>
        </is>
      </c>
      <c r="C2" s="198" t="n">
        <v>4268013.2768</v>
      </c>
      <c r="D2" s="12" t="n">
        <v>223580</v>
      </c>
      <c r="E2" s="13">
        <f>D2/C2</f>
        <v/>
      </c>
      <c r="F2" s="14" t="n">
        <v>15</v>
      </c>
      <c r="G2" s="14" t="n">
        <v>2</v>
      </c>
      <c r="H2" s="15">
        <f>G2/F2</f>
        <v/>
      </c>
      <c r="I2" s="16">
        <f>F2-G2</f>
        <v/>
      </c>
      <c r="J2" s="133">
        <f>D2+D3</f>
        <v/>
      </c>
      <c r="K2">
        <f>IFERROR(VLOOKUP(B2,[1]Hoja1!$A$4:$B$48,2,),0)</f>
        <v/>
      </c>
      <c r="L2" s="199" t="n"/>
      <c r="M2" s="200" t="n"/>
    </row>
    <row r="3" ht="16.2" customHeight="1" s="137" thickBot="1">
      <c r="A3" s="18" t="inlineStr">
        <is>
          <t>Colombina Helados</t>
        </is>
      </c>
      <c r="B3" s="19" t="inlineStr">
        <is>
          <t>1109 NAVIA LOPEZ HAROLD</t>
        </is>
      </c>
      <c r="C3" s="201" t="n">
        <v>5782400</v>
      </c>
      <c r="D3" s="21" t="n">
        <v>2028947</v>
      </c>
      <c r="E3" s="22">
        <f>D3/C3</f>
        <v/>
      </c>
      <c r="F3" s="23" t="n">
        <v>15</v>
      </c>
      <c r="G3" s="23" t="n">
        <v>8</v>
      </c>
      <c r="H3" s="24">
        <f>G3/F3</f>
        <v/>
      </c>
      <c r="I3" s="25">
        <f>F3-G3</f>
        <v/>
      </c>
      <c r="J3" s="134" t="n"/>
      <c r="K3">
        <f>IFERROR(VLOOKUP(B3,[1]Hoja1!$A$4:$B$48,2,),0)</f>
        <v/>
      </c>
      <c r="L3" s="199" t="n"/>
      <c r="M3" s="200" t="n"/>
    </row>
    <row r="4" ht="16.2" customHeight="1" s="137" thickBot="1">
      <c r="A4" s="9" t="inlineStr">
        <is>
          <t>Sanin</t>
        </is>
      </c>
      <c r="B4" s="10" t="inlineStr">
        <is>
          <t>1404 JHON JAIME SANCHEZ</t>
        </is>
      </c>
      <c r="C4" s="198" t="n">
        <v>3912073.134342516</v>
      </c>
      <c r="D4" s="12" t="n">
        <v>685009</v>
      </c>
      <c r="E4" s="13">
        <f>D4/C4</f>
        <v/>
      </c>
      <c r="F4" s="14" t="n">
        <v>35</v>
      </c>
      <c r="G4" s="14" t="n">
        <v>13</v>
      </c>
      <c r="H4" s="15">
        <f>G4/F4</f>
        <v/>
      </c>
      <c r="I4" s="16">
        <f>F4-G4</f>
        <v/>
      </c>
      <c r="J4" s="133">
        <f>SUM(D4:D11)</f>
        <v/>
      </c>
      <c r="K4">
        <f>IFERROR(VLOOKUP(B4,[1]Hoja1!$A$4:$B$48,2,),0)</f>
        <v/>
      </c>
      <c r="L4" s="199" t="n"/>
      <c r="M4" s="200" t="n"/>
    </row>
    <row r="5" ht="16.2" customHeight="1" s="137">
      <c r="A5" s="26" t="inlineStr">
        <is>
          <t>Sanin</t>
        </is>
      </c>
      <c r="B5" s="27" t="inlineStr">
        <is>
          <t>1406 KEVIN ALEXANDER ORTIZ BADOS</t>
        </is>
      </c>
      <c r="C5" s="202" t="n">
        <v>3557632.361851224</v>
      </c>
      <c r="D5" s="29" t="n">
        <v>351601</v>
      </c>
      <c r="E5" s="30">
        <f>D5/C5</f>
        <v/>
      </c>
      <c r="F5" s="31" t="n">
        <v>35</v>
      </c>
      <c r="G5" s="31" t="n">
        <v>5</v>
      </c>
      <c r="H5" s="32">
        <f>G5/F5</f>
        <v/>
      </c>
      <c r="I5" s="33">
        <f>F5-G5</f>
        <v/>
      </c>
      <c r="J5" s="135" t="n"/>
      <c r="K5">
        <f>IFERROR(VLOOKUP(B5,[1]Hoja1!$A$4:$B$48,2,),0)</f>
        <v/>
      </c>
      <c r="L5" s="199" t="n"/>
      <c r="M5" s="200" t="n"/>
    </row>
    <row r="6" ht="16.2" customHeight="1" s="137">
      <c r="A6" s="26" t="inlineStr">
        <is>
          <t>Sanin Foraneo</t>
        </is>
      </c>
      <c r="B6" s="34" t="inlineStr">
        <is>
          <t>1407 SANTIAGO OTERO</t>
        </is>
      </c>
      <c r="C6" s="203" t="n">
        <v>4352260.401763355</v>
      </c>
      <c r="D6" s="36" t="n">
        <v>1022481</v>
      </c>
      <c r="E6" s="37">
        <f>D6/C6</f>
        <v/>
      </c>
      <c r="F6" s="38" t="n">
        <v>25</v>
      </c>
      <c r="G6" s="38" t="n">
        <v>14</v>
      </c>
      <c r="H6" s="39">
        <f>G6/F6</f>
        <v/>
      </c>
      <c r="I6" s="40">
        <f>F6-G6</f>
        <v/>
      </c>
      <c r="J6" s="135" t="n"/>
      <c r="K6">
        <f>IFERROR(VLOOKUP(B6,[1]Hoja1!$A$4:$B$48,2,),0)</f>
        <v/>
      </c>
      <c r="L6" s="199" t="n"/>
      <c r="M6" s="200" t="n"/>
    </row>
    <row r="7" ht="16.2" customHeight="1" s="137">
      <c r="A7" s="26" t="inlineStr">
        <is>
          <t>Sanin Foraneo</t>
        </is>
      </c>
      <c r="B7" s="34" t="inlineStr">
        <is>
          <t>1410 JUAN MANUEL SILVA</t>
        </is>
      </c>
      <c r="C7" s="203" t="n">
        <v>2949191.375180122</v>
      </c>
      <c r="D7" s="36" t="n">
        <v>2255194</v>
      </c>
      <c r="E7" s="37">
        <f>D7/C7</f>
        <v/>
      </c>
      <c r="F7" s="38" t="n">
        <v>35</v>
      </c>
      <c r="G7" s="38" t="n">
        <v>27</v>
      </c>
      <c r="H7" s="39">
        <f>G7/F7</f>
        <v/>
      </c>
      <c r="I7" s="40">
        <f>F7-G7</f>
        <v/>
      </c>
      <c r="J7" s="135" t="n"/>
      <c r="K7">
        <f>IFERROR(VLOOKUP(B7,[1]Hoja1!$A$4:$B$48,2,),0)</f>
        <v/>
      </c>
      <c r="L7" s="199" t="n"/>
      <c r="M7" s="200" t="n"/>
    </row>
    <row r="8" ht="16.2" customHeight="1" s="137">
      <c r="A8" s="26" t="inlineStr">
        <is>
          <t>Sanin</t>
        </is>
      </c>
      <c r="B8" s="27" t="inlineStr">
        <is>
          <t>1411 BETANIA PEÑA</t>
        </is>
      </c>
      <c r="C8" s="202" t="n">
        <v>3599832.422679558</v>
      </c>
      <c r="D8" s="29" t="n">
        <v>526457</v>
      </c>
      <c r="E8" s="30">
        <f>D8/C8</f>
        <v/>
      </c>
      <c r="F8" s="31" t="n">
        <v>35</v>
      </c>
      <c r="G8" s="31" t="n">
        <v>14</v>
      </c>
      <c r="H8" s="32">
        <f>G8/F8</f>
        <v/>
      </c>
      <c r="I8" s="33">
        <f>F8-G8</f>
        <v/>
      </c>
      <c r="J8" s="135" t="n"/>
      <c r="K8">
        <f>IFERROR(VLOOKUP(B8,[1]Hoja1!$A$4:$B$48,2,),0)</f>
        <v/>
      </c>
      <c r="L8" s="199" t="n"/>
      <c r="M8" s="200" t="n"/>
    </row>
    <row r="9" ht="16.2" customHeight="1" s="137">
      <c r="A9" s="26" t="inlineStr">
        <is>
          <t>Sanin</t>
        </is>
      </c>
      <c r="B9" s="27" t="inlineStr">
        <is>
          <t>1412 JAIRO RUIZ</t>
        </is>
      </c>
      <c r="C9" s="202" t="n">
        <v>4051883.292469844</v>
      </c>
      <c r="D9" s="29" t="n">
        <v>3112600</v>
      </c>
      <c r="E9" s="30">
        <f>D9/C9</f>
        <v/>
      </c>
      <c r="F9" s="31" t="n">
        <v>25</v>
      </c>
      <c r="G9" s="31" t="n">
        <v>11</v>
      </c>
      <c r="H9" s="32">
        <f>G9/F9</f>
        <v/>
      </c>
      <c r="I9" s="33">
        <f>F9-G9</f>
        <v/>
      </c>
      <c r="J9" s="135" t="n"/>
      <c r="K9">
        <f>IFERROR(VLOOKUP(B9,[1]Hoja1!$A$4:$B$48,2,),0)</f>
        <v/>
      </c>
      <c r="L9" s="199" t="n"/>
      <c r="M9" s="200" t="n"/>
    </row>
    <row r="10" ht="16.2" customHeight="1" s="137">
      <c r="A10" s="26" t="inlineStr">
        <is>
          <t>Sanin</t>
        </is>
      </c>
      <c r="B10" s="27" t="inlineStr">
        <is>
          <t>1416 JOSE LUIS ARTEAGA</t>
        </is>
      </c>
      <c r="C10" s="202" t="n">
        <v>4501003.655035949</v>
      </c>
      <c r="D10" s="29" t="n">
        <v>1633262</v>
      </c>
      <c r="E10" s="30">
        <f>D10/C10</f>
        <v/>
      </c>
      <c r="F10" s="31" t="n">
        <v>35</v>
      </c>
      <c r="G10" s="31" t="n">
        <v>13</v>
      </c>
      <c r="H10" s="32">
        <f>G10/F10</f>
        <v/>
      </c>
      <c r="I10" s="33">
        <f>F10-G10</f>
        <v/>
      </c>
      <c r="J10" s="135" t="n"/>
      <c r="K10">
        <f>IFERROR(VLOOKUP(B10,[1]Hoja1!$A$4:$B$48,2,),0)</f>
        <v/>
      </c>
      <c r="L10" s="199" t="n"/>
      <c r="M10" s="200" t="n"/>
    </row>
    <row r="11" ht="16.2" customHeight="1" s="137" thickBot="1">
      <c r="A11" s="18" t="inlineStr">
        <is>
          <t>Sanin</t>
        </is>
      </c>
      <c r="B11" s="19" t="inlineStr">
        <is>
          <t>1417 AREVALO DUARTE CARLOS ALBERTO</t>
        </is>
      </c>
      <c r="C11" s="201" t="n">
        <v>4068123.345954158</v>
      </c>
      <c r="D11" s="21" t="n">
        <v>394472</v>
      </c>
      <c r="E11" s="22">
        <f>D11/C11</f>
        <v/>
      </c>
      <c r="F11" s="23" t="n">
        <v>35</v>
      </c>
      <c r="G11" s="23" t="n">
        <v>6</v>
      </c>
      <c r="H11" s="24">
        <f>G11/F11</f>
        <v/>
      </c>
      <c r="I11" s="25">
        <f>F11-G11</f>
        <v/>
      </c>
      <c r="J11" s="134" t="n"/>
      <c r="K11">
        <f>IFERROR(VLOOKUP(B11,[1]Hoja1!$A$4:$B$48,2,),0)</f>
        <v/>
      </c>
      <c r="L11" s="199" t="n"/>
      <c r="M11" s="200" t="n"/>
    </row>
    <row r="12" ht="16.2" customHeight="1" s="137" thickBot="1">
      <c r="A12" s="9" t="inlineStr">
        <is>
          <t xml:space="preserve">Colombina </t>
        </is>
      </c>
      <c r="B12" s="10" t="inlineStr">
        <is>
          <t>2001 LEYDI CAROLINA VICTORIA OJEDA</t>
        </is>
      </c>
      <c r="C12" s="198" t="n">
        <v>2115234.39982896</v>
      </c>
      <c r="D12" s="12" t="n">
        <v>73431</v>
      </c>
      <c r="E12" s="13">
        <f>D12/C12</f>
        <v/>
      </c>
      <c r="F12" s="14" t="n">
        <v>35</v>
      </c>
      <c r="G12" s="14" t="n">
        <v>1</v>
      </c>
      <c r="H12" s="15">
        <f>G12/F12</f>
        <v/>
      </c>
      <c r="I12" s="16">
        <f>F12-G12</f>
        <v/>
      </c>
      <c r="J12" s="133">
        <f>SUM(D12:D19)</f>
        <v/>
      </c>
      <c r="K12">
        <f>IFERROR(VLOOKUP(B12,[1]Hoja1!$A$4:$B$48,2,),0)</f>
        <v/>
      </c>
      <c r="L12" s="199" t="n"/>
      <c r="M12" s="200" t="n"/>
    </row>
    <row r="13" ht="16.2" customHeight="1" s="137">
      <c r="A13" s="26" t="inlineStr">
        <is>
          <t xml:space="preserve">Colombina </t>
        </is>
      </c>
      <c r="B13" s="27" t="inlineStr">
        <is>
          <t>2003 MAYI KATERINE PEREZ ORTIZ</t>
        </is>
      </c>
      <c r="C13" s="202" t="n">
        <v>2350449.421398123</v>
      </c>
      <c r="D13" s="29" t="n">
        <v>1408251</v>
      </c>
      <c r="E13" s="30">
        <f>D13/C13</f>
        <v/>
      </c>
      <c r="F13" s="31" t="n">
        <v>35</v>
      </c>
      <c r="G13" s="31" t="n">
        <v>16</v>
      </c>
      <c r="H13" s="32">
        <f>G13/F13</f>
        <v/>
      </c>
      <c r="I13" s="33">
        <f>F13-G13</f>
        <v/>
      </c>
      <c r="J13" s="135" t="n"/>
      <c r="K13">
        <f>IFERROR(VLOOKUP(B13,[1]Hoja1!$A$4:$B$48,2,),0)</f>
        <v/>
      </c>
      <c r="L13" s="199" t="n"/>
      <c r="M13" s="200" t="n"/>
    </row>
    <row r="14" ht="16.2" customHeight="1" s="137">
      <c r="A14" s="26" t="inlineStr">
        <is>
          <t xml:space="preserve">Colombina </t>
        </is>
      </c>
      <c r="B14" s="27" t="inlineStr">
        <is>
          <t>2004 NICOL CRUZ</t>
        </is>
      </c>
      <c r="C14" s="202" t="n">
        <v>2027779.239515265</v>
      </c>
      <c r="D14" s="29" t="n">
        <v>519632</v>
      </c>
      <c r="E14" s="30">
        <f>D14/C14</f>
        <v/>
      </c>
      <c r="F14" s="31" t="n">
        <v>35</v>
      </c>
      <c r="G14" s="31" t="n">
        <v>10</v>
      </c>
      <c r="H14" s="32">
        <f>G14/F14</f>
        <v/>
      </c>
      <c r="I14" s="33">
        <f>F14-G14</f>
        <v/>
      </c>
      <c r="J14" s="135" t="n"/>
      <c r="K14">
        <f>IFERROR(VLOOKUP(B14,[1]Hoja1!$A$4:$B$48,2,),0)</f>
        <v/>
      </c>
      <c r="L14" s="199" t="n"/>
      <c r="M14" s="200" t="n"/>
    </row>
    <row r="15" ht="16.2" customHeight="1" s="137">
      <c r="A15" s="26" t="inlineStr">
        <is>
          <t xml:space="preserve">Colombina </t>
        </is>
      </c>
      <c r="B15" s="27" t="inlineStr">
        <is>
          <t>2006 CRISTIAN CALLE</t>
        </is>
      </c>
      <c r="C15" s="202" t="n">
        <v>1995472.141940475</v>
      </c>
      <c r="D15" s="29" t="n">
        <v>526732</v>
      </c>
      <c r="E15" s="30">
        <f>D15/C15</f>
        <v/>
      </c>
      <c r="F15" s="31" t="n">
        <v>35</v>
      </c>
      <c r="G15" s="31" t="n">
        <v>11</v>
      </c>
      <c r="H15" s="32">
        <f>G15/F15</f>
        <v/>
      </c>
      <c r="I15" s="33">
        <f>F15-G15</f>
        <v/>
      </c>
      <c r="J15" s="135" t="n"/>
      <c r="K15">
        <f>IFERROR(VLOOKUP(B15,[1]Hoja1!$A$4:$B$48,2,),0)</f>
        <v/>
      </c>
      <c r="L15" s="199" t="n"/>
      <c r="M15" s="200" t="n"/>
    </row>
    <row r="16" ht="16.2" customHeight="1" s="137">
      <c r="A16" s="26" t="inlineStr">
        <is>
          <t>Colombina Foraneo</t>
        </is>
      </c>
      <c r="B16" s="34" t="inlineStr">
        <is>
          <t>4002 JUAN CAMILO SOTELO</t>
        </is>
      </c>
      <c r="C16" s="203" t="n">
        <v>2883608.019584803</v>
      </c>
      <c r="D16" s="36" t="n">
        <v>1574351</v>
      </c>
      <c r="E16" s="37">
        <f>D16/C16</f>
        <v/>
      </c>
      <c r="F16" s="38" t="n">
        <v>25</v>
      </c>
      <c r="G16" s="38" t="n">
        <v>10</v>
      </c>
      <c r="H16" s="39">
        <f>G16/F16</f>
        <v/>
      </c>
      <c r="I16" s="40">
        <f>F16-G16</f>
        <v/>
      </c>
      <c r="J16" s="135" t="n"/>
      <c r="K16">
        <f>IFERROR(VLOOKUP(B16,[1]Hoja1!$A$4:$B$48,2,),0)</f>
        <v/>
      </c>
      <c r="L16" s="199" t="n"/>
      <c r="M16" s="200" t="n"/>
    </row>
    <row r="17" ht="16.2" customHeight="1" s="137">
      <c r="A17" s="26" t="inlineStr">
        <is>
          <t xml:space="preserve">Colombina </t>
        </is>
      </c>
      <c r="B17" s="27" t="inlineStr">
        <is>
          <t>4006 LINA TRUJILLO</t>
        </is>
      </c>
      <c r="C17" s="202" t="n">
        <v>2192336.459053269</v>
      </c>
      <c r="D17" s="29" t="n">
        <v>1300154</v>
      </c>
      <c r="E17" s="30">
        <f>D17/C17</f>
        <v/>
      </c>
      <c r="F17" s="31" t="n">
        <v>35</v>
      </c>
      <c r="G17" s="31" t="n">
        <v>22</v>
      </c>
      <c r="H17" s="32">
        <f>G17/F17</f>
        <v/>
      </c>
      <c r="I17" s="33">
        <f>F17-G17</f>
        <v/>
      </c>
      <c r="J17" s="135" t="n"/>
      <c r="K17">
        <f>IFERROR(VLOOKUP(B17,[1]Hoja1!$A$4:$B$48,2,),0)</f>
        <v/>
      </c>
      <c r="L17" s="199" t="n"/>
      <c r="M17" s="200" t="n"/>
    </row>
    <row r="18" ht="16.2" customHeight="1" s="137">
      <c r="A18" s="26" t="inlineStr">
        <is>
          <t>Colombina Foraneo</t>
        </is>
      </c>
      <c r="B18" s="34" t="inlineStr">
        <is>
          <t>4007 ANGELA AMPUDIA MOLINA</t>
        </is>
      </c>
      <c r="C18" s="203" t="n">
        <v>2822450.21446998</v>
      </c>
      <c r="D18" s="36" t="n">
        <v>1744705</v>
      </c>
      <c r="E18" s="37">
        <f>D18/C18</f>
        <v/>
      </c>
      <c r="F18" s="38" t="n">
        <v>25</v>
      </c>
      <c r="G18" s="38" t="n">
        <v>19</v>
      </c>
      <c r="H18" s="39">
        <f>G18/F18</f>
        <v/>
      </c>
      <c r="I18" s="40">
        <f>F18-G18</f>
        <v/>
      </c>
      <c r="J18" s="135" t="n"/>
      <c r="K18">
        <f>IFERROR(VLOOKUP(B18,[1]Hoja1!$A$4:$B$48,2,),0)</f>
        <v/>
      </c>
      <c r="L18" s="199" t="n"/>
      <c r="M18" s="200" t="n"/>
    </row>
    <row r="19" ht="16.2" customHeight="1" s="137" thickBot="1">
      <c r="A19" s="18" t="inlineStr">
        <is>
          <t xml:space="preserve">Colombina </t>
        </is>
      </c>
      <c r="B19" s="19" t="inlineStr">
        <is>
          <t>4009 STEPHANIE MUNÑOZ</t>
        </is>
      </c>
      <c r="C19" s="201" t="n">
        <v>1875070.115217594</v>
      </c>
      <c r="D19" s="21" t="n">
        <v>591233</v>
      </c>
      <c r="E19" s="22">
        <f>D19/C19</f>
        <v/>
      </c>
      <c r="F19" s="23" t="n">
        <v>35</v>
      </c>
      <c r="G19" s="23" t="n">
        <v>12</v>
      </c>
      <c r="H19" s="24">
        <f>G19/F19</f>
        <v/>
      </c>
      <c r="I19" s="25">
        <f>F19-G19</f>
        <v/>
      </c>
      <c r="J19" s="134" t="n"/>
      <c r="K19">
        <f>IFERROR(VLOOKUP(B19,[1]Hoja1!$A$4:$B$48,2,),0)</f>
        <v/>
      </c>
      <c r="L19" s="199" t="n"/>
      <c r="M19" s="200" t="n"/>
    </row>
    <row r="20" ht="16.2" customHeight="1" s="137" thickBot="1">
      <c r="A20" s="9" t="inlineStr">
        <is>
          <t>Casa Luker</t>
        </is>
      </c>
      <c r="B20" s="10" t="inlineStr">
        <is>
          <t>6001 SUSANA NOGUERA</t>
        </is>
      </c>
      <c r="C20" s="198" t="n">
        <v>3489091.338384212</v>
      </c>
      <c r="D20" s="12" t="n">
        <v>984789</v>
      </c>
      <c r="E20" s="13">
        <f>D20/C20</f>
        <v/>
      </c>
      <c r="F20" s="14" t="n">
        <v>35</v>
      </c>
      <c r="G20" s="14" t="n">
        <v>18</v>
      </c>
      <c r="H20" s="15">
        <f>G20/F20</f>
        <v/>
      </c>
      <c r="I20" s="16">
        <f>F20-G20</f>
        <v/>
      </c>
      <c r="J20" s="133">
        <f>SUM(D20:D27)</f>
        <v/>
      </c>
      <c r="K20">
        <f>IFERROR(VLOOKUP(B20,[1]Hoja1!$A$4:$B$48,2,),0)</f>
        <v/>
      </c>
      <c r="L20" s="199" t="n"/>
      <c r="M20" s="200" t="n"/>
    </row>
    <row r="21" ht="16.2" customHeight="1" s="137">
      <c r="A21" s="26" t="inlineStr">
        <is>
          <t>Casa Luker</t>
        </is>
      </c>
      <c r="B21" s="27" t="inlineStr">
        <is>
          <t>6002 STEFANY ALEJANDRA VILLAREAL</t>
        </is>
      </c>
      <c r="C21" s="202" t="n">
        <v>2577874.325332872</v>
      </c>
      <c r="D21" s="29" t="n">
        <v>583371</v>
      </c>
      <c r="E21" s="30">
        <f>D21/C21</f>
        <v/>
      </c>
      <c r="F21" s="31" t="n">
        <v>35</v>
      </c>
      <c r="G21" s="31" t="n">
        <v>11</v>
      </c>
      <c r="H21" s="32">
        <f>G21/F21</f>
        <v/>
      </c>
      <c r="I21" s="33">
        <f>F21-G21</f>
        <v/>
      </c>
      <c r="J21" s="135" t="n"/>
      <c r="K21">
        <f>IFERROR(VLOOKUP(B21,[1]Hoja1!$A$4:$B$48,2,),0)</f>
        <v/>
      </c>
      <c r="L21" s="199" t="n"/>
      <c r="M21" s="200" t="n"/>
    </row>
    <row r="22" ht="16.2" customHeight="1" s="137">
      <c r="A22" s="26" t="inlineStr">
        <is>
          <t>Casa Luker</t>
        </is>
      </c>
      <c r="B22" s="27" t="inlineStr">
        <is>
          <t>6003 MAURICIO VIVAS RUIZ</t>
        </is>
      </c>
      <c r="C22" s="202" t="n">
        <v>4147681.156904749</v>
      </c>
      <c r="D22" s="29" t="n">
        <v>3327707</v>
      </c>
      <c r="E22" s="30">
        <f>D22/C22</f>
        <v/>
      </c>
      <c r="F22" s="31" t="n">
        <v>25</v>
      </c>
      <c r="G22" s="31" t="n">
        <v>8</v>
      </c>
      <c r="H22" s="32">
        <f>G22/F22</f>
        <v/>
      </c>
      <c r="I22" s="33">
        <f>F22-G22</f>
        <v/>
      </c>
      <c r="J22" s="135" t="n"/>
      <c r="K22">
        <f>IFERROR(VLOOKUP(B22,[1]Hoja1!$A$4:$B$48,2,),0)</f>
        <v/>
      </c>
      <c r="L22" s="199" t="n"/>
      <c r="M22" s="200" t="n"/>
    </row>
    <row r="23" ht="16.2" customHeight="1" s="137">
      <c r="A23" s="26" t="inlineStr">
        <is>
          <t>Casa Luker</t>
        </is>
      </c>
      <c r="B23" s="27" t="inlineStr">
        <is>
          <t>6006 SANTIAGO IMBACHI JOAQUI</t>
        </is>
      </c>
      <c r="C23" s="202" t="n">
        <v>2540205.099875077</v>
      </c>
      <c r="D23" s="29" t="n">
        <v>784817</v>
      </c>
      <c r="E23" s="30">
        <f>D23/C23</f>
        <v/>
      </c>
      <c r="F23" s="31" t="n">
        <v>35</v>
      </c>
      <c r="G23" s="31" t="n">
        <v>15</v>
      </c>
      <c r="H23" s="32">
        <f>G23/F23</f>
        <v/>
      </c>
      <c r="I23" s="33">
        <f>F23-G23</f>
        <v/>
      </c>
      <c r="J23" s="135" t="n"/>
      <c r="K23">
        <f>IFERROR(VLOOKUP(B23,[1]Hoja1!$A$4:$B$48,2,),0)</f>
        <v/>
      </c>
      <c r="L23" s="199" t="n"/>
      <c r="M23" s="200" t="n"/>
    </row>
    <row r="24" ht="16.2" customHeight="1" s="137">
      <c r="A24" s="26" t="inlineStr">
        <is>
          <t>Casa Luker foraneo</t>
        </is>
      </c>
      <c r="B24" s="34" t="inlineStr">
        <is>
          <t>6007 MEYER MUÑOZ</t>
        </is>
      </c>
      <c r="C24" s="203" t="n">
        <v>3542990.117460595</v>
      </c>
      <c r="D24" s="36" t="n">
        <v>2322726</v>
      </c>
      <c r="E24" s="37">
        <f>D24/C24</f>
        <v/>
      </c>
      <c r="F24" s="38" t="n">
        <v>25</v>
      </c>
      <c r="G24" s="38" t="n">
        <v>16</v>
      </c>
      <c r="H24" s="39">
        <f>G24/F24</f>
        <v/>
      </c>
      <c r="I24" s="40">
        <f>F24-G24</f>
        <v/>
      </c>
      <c r="J24" s="135" t="n"/>
      <c r="K24">
        <f>IFERROR(VLOOKUP(B24,[1]Hoja1!$A$4:$B$48,2,),0)</f>
        <v/>
      </c>
      <c r="L24" s="199" t="n"/>
      <c r="M24" s="200" t="n"/>
    </row>
    <row r="25" ht="16.2" customHeight="1" s="137">
      <c r="A25" s="26" t="inlineStr">
        <is>
          <t>Casa Luker Foraneo</t>
        </is>
      </c>
      <c r="B25" s="34" t="inlineStr">
        <is>
          <t>6009 FABIO VERGARA</t>
        </is>
      </c>
      <c r="C25" s="203" t="n">
        <v>2920413.487096615</v>
      </c>
      <c r="D25" s="36" t="n">
        <v>869025</v>
      </c>
      <c r="E25" s="37">
        <f>D25/C25</f>
        <v/>
      </c>
      <c r="F25" s="38" t="n">
        <v>35</v>
      </c>
      <c r="G25" s="38" t="n">
        <v>13</v>
      </c>
      <c r="H25" s="39">
        <f>G25/F25</f>
        <v/>
      </c>
      <c r="I25" s="40">
        <f>F25-G25</f>
        <v/>
      </c>
      <c r="J25" s="135" t="n"/>
      <c r="K25">
        <f>IFERROR(VLOOKUP(B25,[1]Hoja1!$A$4:$B$48,2,),0)</f>
        <v/>
      </c>
      <c r="L25" s="199" t="n"/>
      <c r="M25" s="200" t="n"/>
    </row>
    <row r="26" ht="16.2" customHeight="1" s="137">
      <c r="A26" s="26" t="inlineStr">
        <is>
          <t>Casa Luker</t>
        </is>
      </c>
      <c r="B26" s="27" t="inlineStr">
        <is>
          <t>6010 ALEJANDRO CIFUENTES GAMBOA</t>
        </is>
      </c>
      <c r="C26" s="202" t="n">
        <v>2415122.61409575</v>
      </c>
      <c r="D26" s="29" t="n">
        <v>415912</v>
      </c>
      <c r="E26" s="30">
        <f>D26/C26</f>
        <v/>
      </c>
      <c r="F26" s="31" t="n">
        <v>35</v>
      </c>
      <c r="G26" s="31" t="n">
        <v>7</v>
      </c>
      <c r="H26" s="32">
        <f>G26/F26</f>
        <v/>
      </c>
      <c r="I26" s="33">
        <f>F26-G26</f>
        <v/>
      </c>
      <c r="J26" s="135" t="n"/>
      <c r="K26">
        <f>IFERROR(VLOOKUP(B26,[1]Hoja1!$A$4:$B$48,2,),0)</f>
        <v/>
      </c>
      <c r="L26" s="199" t="n"/>
      <c r="M26" s="200" t="n"/>
    </row>
    <row r="27" ht="16.2" customHeight="1" s="137" thickBot="1">
      <c r="A27" s="18" t="inlineStr">
        <is>
          <t>Casa Luker</t>
        </is>
      </c>
      <c r="B27" s="19" t="inlineStr">
        <is>
          <t>6011 FERNANDO CHAGUENDO</t>
        </is>
      </c>
      <c r="C27" s="201" t="n">
        <v>4616221.860850123</v>
      </c>
      <c r="D27" s="21" t="n">
        <v>1920217</v>
      </c>
      <c r="E27" s="22">
        <f>D27/C27</f>
        <v/>
      </c>
      <c r="F27" s="23" t="n">
        <v>35</v>
      </c>
      <c r="G27" s="23" t="n">
        <v>8</v>
      </c>
      <c r="H27" s="24">
        <f>G27/F27</f>
        <v/>
      </c>
      <c r="I27" s="25">
        <f>F27-G27</f>
        <v/>
      </c>
      <c r="J27" s="134" t="n"/>
      <c r="K27">
        <f>IFERROR(VLOOKUP(B27,[1]Hoja1!$A$4:$B$48,2,),0)</f>
        <v/>
      </c>
      <c r="L27" s="199" t="n"/>
      <c r="M27" s="200" t="n"/>
    </row>
    <row r="28" ht="16.2" customHeight="1" s="137" thickBot="1">
      <c r="A28" s="9" t="inlineStr">
        <is>
          <t>Tecnoquimicas</t>
        </is>
      </c>
      <c r="B28" s="10" t="inlineStr">
        <is>
          <t>9001 VICTOR MANUEL GEMBUEL YANDI</t>
        </is>
      </c>
      <c r="C28" s="198" t="n">
        <v>2620062.334559925</v>
      </c>
      <c r="D28" s="12" t="n">
        <v>562800</v>
      </c>
      <c r="E28" s="13">
        <f>D28/C28</f>
        <v/>
      </c>
      <c r="F28" s="14" t="n">
        <v>35</v>
      </c>
      <c r="G28" s="14" t="n">
        <v>13</v>
      </c>
      <c r="H28" s="15">
        <f>G28/F28</f>
        <v/>
      </c>
      <c r="I28" s="16">
        <f>F28-G28</f>
        <v/>
      </c>
      <c r="J28" s="133">
        <f>SUM(D28:D35)</f>
        <v/>
      </c>
      <c r="K28">
        <f>IFERROR(VLOOKUP(B28,[1]Hoja1!$A$4:$B$48,2,),0)</f>
        <v/>
      </c>
      <c r="L28" s="199" t="n"/>
      <c r="M28" s="200" t="n"/>
    </row>
    <row r="29" ht="16.2" customHeight="1" s="137">
      <c r="A29" s="26" t="inlineStr">
        <is>
          <t>Tecnoquimicas</t>
        </is>
      </c>
      <c r="B29" s="27" t="inlineStr">
        <is>
          <t>9002 SEBASTIAN MAURICIO MOSQUERA</t>
        </is>
      </c>
      <c r="C29" s="202" t="n">
        <v>2458438.608382704</v>
      </c>
      <c r="D29" s="29" t="n">
        <v>915675</v>
      </c>
      <c r="E29" s="30">
        <f>D29/C29</f>
        <v/>
      </c>
      <c r="F29" s="31" t="n">
        <v>35</v>
      </c>
      <c r="G29" s="31" t="n">
        <v>18</v>
      </c>
      <c r="H29" s="32">
        <f>G29/F29</f>
        <v/>
      </c>
      <c r="I29" s="33">
        <f>F29-G29</f>
        <v/>
      </c>
      <c r="J29" s="135" t="n"/>
      <c r="K29">
        <f>IFERROR(VLOOKUP(B29,[1]Hoja1!$A$4:$B$48,2,),0)</f>
        <v/>
      </c>
      <c r="L29" s="199" t="n"/>
      <c r="M29" s="200" t="n"/>
    </row>
    <row r="30" ht="16.2" customHeight="1" s="137">
      <c r="A30" s="26" t="inlineStr">
        <is>
          <t>Tecnoquimicas Foraneo</t>
        </is>
      </c>
      <c r="B30" s="34" t="inlineStr">
        <is>
          <t>9003  JUAN CAMILO PITO</t>
        </is>
      </c>
      <c r="C30" s="203" t="n">
        <v>2514139.040663015</v>
      </c>
      <c r="D30" s="36" t="n">
        <v>2400108</v>
      </c>
      <c r="E30" s="37">
        <f>D30/C30</f>
        <v/>
      </c>
      <c r="F30" s="38" t="n">
        <v>25</v>
      </c>
      <c r="G30" s="38" t="n">
        <v>16</v>
      </c>
      <c r="H30" s="39">
        <f>G30/F30</f>
        <v/>
      </c>
      <c r="I30" s="40">
        <f>F30-G30</f>
        <v/>
      </c>
      <c r="J30" s="135" t="n"/>
      <c r="K30">
        <f>IFERROR(VLOOKUP(B30,[1]Hoja1!$A$4:$B$48,2,),0)</f>
        <v/>
      </c>
      <c r="L30" s="199" t="n"/>
      <c r="M30" s="200" t="n"/>
    </row>
    <row r="31" ht="16.2" customHeight="1" s="137">
      <c r="A31" s="26" t="inlineStr">
        <is>
          <t>Tecnoquimicas</t>
        </is>
      </c>
      <c r="B31" s="27" t="inlineStr">
        <is>
          <t>9004 VICTOR CIFUENTES</t>
        </is>
      </c>
      <c r="C31" s="202" t="n">
        <v>2647652.665731449</v>
      </c>
      <c r="D31" s="29" t="n">
        <v>135262</v>
      </c>
      <c r="E31" s="30">
        <f>D31/C31</f>
        <v/>
      </c>
      <c r="F31" s="31" t="n">
        <v>35</v>
      </c>
      <c r="G31" s="31" t="n">
        <v>2</v>
      </c>
      <c r="H31" s="32">
        <f>G31/F31</f>
        <v/>
      </c>
      <c r="I31" s="33">
        <f>F31-G31</f>
        <v/>
      </c>
      <c r="J31" s="135" t="n"/>
      <c r="K31">
        <f>IFERROR(VLOOKUP(B31,[1]Hoja1!$A$4:$B$48,2,),0)</f>
        <v/>
      </c>
      <c r="L31" s="199" t="n"/>
      <c r="M31" s="200" t="n"/>
    </row>
    <row r="32" ht="16.2" customHeight="1" s="137">
      <c r="A32" s="26" t="inlineStr">
        <is>
          <t>Tecnoquimicas</t>
        </is>
      </c>
      <c r="B32" s="27" t="inlineStr">
        <is>
          <t>9006 LAURA INES GARCIA</t>
        </is>
      </c>
      <c r="C32" s="202" t="n">
        <v>2470680.767831972</v>
      </c>
      <c r="D32" s="29" t="n">
        <v>64164</v>
      </c>
      <c r="E32" s="30">
        <f>D32/C32</f>
        <v/>
      </c>
      <c r="F32" s="31" t="n">
        <v>35</v>
      </c>
      <c r="G32" s="31" t="n">
        <v>3</v>
      </c>
      <c r="H32" s="32">
        <f>G32/F32</f>
        <v/>
      </c>
      <c r="I32" s="33">
        <f>F32-G32</f>
        <v/>
      </c>
      <c r="J32" s="135" t="n"/>
      <c r="K32">
        <f>IFERROR(VLOOKUP(B32,[1]Hoja1!$A$4:$B$48,2,),0)</f>
        <v/>
      </c>
      <c r="L32" s="199" t="n"/>
      <c r="M32" s="200" t="n"/>
    </row>
    <row r="33" ht="16.2" customHeight="1" s="137">
      <c r="A33" s="26" t="inlineStr">
        <is>
          <t>Tecnoquimicas Foraneo</t>
        </is>
      </c>
      <c r="B33" s="34" t="inlineStr">
        <is>
          <t>9007 MARIA CRISTINA DIAZ</t>
        </is>
      </c>
      <c r="C33" s="203" t="n">
        <v>2270254.174878573</v>
      </c>
      <c r="D33" s="36" t="n">
        <v>1483330</v>
      </c>
      <c r="E33" s="37">
        <f>D33/C33</f>
        <v/>
      </c>
      <c r="F33" s="38" t="n">
        <v>25</v>
      </c>
      <c r="G33" s="38" t="n">
        <v>15</v>
      </c>
      <c r="H33" s="39">
        <f>G33/F33</f>
        <v/>
      </c>
      <c r="I33" s="40">
        <f>F33-G33</f>
        <v/>
      </c>
      <c r="J33" s="135" t="n"/>
      <c r="K33">
        <f>IFERROR(VLOOKUP(B33,[1]Hoja1!$A$4:$B$48,2,),0)</f>
        <v/>
      </c>
      <c r="L33" s="199" t="n"/>
      <c r="M33" s="200" t="n"/>
    </row>
    <row r="34" ht="16.2" customHeight="1" s="137">
      <c r="A34" s="26" t="inlineStr">
        <is>
          <t>Tecnoquimicas</t>
        </is>
      </c>
      <c r="B34" s="27" t="inlineStr">
        <is>
          <t>9008 DORIS ROSAS MONCADA</t>
        </is>
      </c>
      <c r="C34" s="202" t="n">
        <v>2328805.581573491</v>
      </c>
      <c r="D34" s="29" t="n">
        <v>296644</v>
      </c>
      <c r="E34" s="30">
        <f>D34/C34</f>
        <v/>
      </c>
      <c r="F34" s="31" t="n">
        <v>35</v>
      </c>
      <c r="G34" s="31" t="n">
        <v>7</v>
      </c>
      <c r="H34" s="32">
        <f>G34/F34</f>
        <v/>
      </c>
      <c r="I34" s="33">
        <f>F34-G34</f>
        <v/>
      </c>
      <c r="J34" s="135" t="n"/>
      <c r="K34">
        <f>IFERROR(VLOOKUP(B34,[1]Hoja1!$A$4:$B$48,2,),0)</f>
        <v/>
      </c>
      <c r="L34" s="199" t="n"/>
      <c r="M34" s="200" t="n"/>
    </row>
    <row r="35" ht="16.2" customHeight="1" s="137" thickBot="1">
      <c r="A35" s="18" t="inlineStr">
        <is>
          <t>Tecnoquimicas</t>
        </is>
      </c>
      <c r="B35" s="19" t="inlineStr">
        <is>
          <t>9009 FREYDER SEBASTIAN ROSERO GOMEZ</t>
        </is>
      </c>
      <c r="C35" s="201" t="n">
        <v>1534766.807726665</v>
      </c>
      <c r="D35" s="21" t="n">
        <v>49563</v>
      </c>
      <c r="E35" s="22">
        <f>D35/C35</f>
        <v/>
      </c>
      <c r="F35" s="23" t="n">
        <v>35</v>
      </c>
      <c r="G35" s="23" t="n">
        <v>2</v>
      </c>
      <c r="H35" s="24">
        <f>G35/F35</f>
        <v/>
      </c>
      <c r="I35" s="25">
        <f>F35-G35</f>
        <v/>
      </c>
      <c r="J35" s="134" t="n"/>
      <c r="K35">
        <f>IFERROR(VLOOKUP(B35,[1]Hoja1!$A$4:$B$48,2,),0)</f>
        <v/>
      </c>
      <c r="L35" s="199" t="n"/>
      <c r="M35" s="200" t="n"/>
    </row>
    <row r="36" ht="16.2" customHeight="1" s="137" thickBot="1">
      <c r="A36" s="41" t="inlineStr">
        <is>
          <t>Clientes Especiales</t>
        </is>
      </c>
      <c r="B36" s="42" t="inlineStr">
        <is>
          <t>9025 ANDERSON PAJOY</t>
        </is>
      </c>
      <c r="C36" s="204" t="n">
        <v>14768000</v>
      </c>
      <c r="D36" s="44" t="n">
        <v>8856753</v>
      </c>
      <c r="E36" s="45">
        <f>D36/C36</f>
        <v/>
      </c>
      <c r="F36" s="46" t="n">
        <v>10</v>
      </c>
      <c r="G36" s="46" t="n">
        <v>2</v>
      </c>
      <c r="H36" s="47">
        <f>G36/F36</f>
        <v/>
      </c>
      <c r="I36" s="48">
        <f>F36-G36</f>
        <v/>
      </c>
      <c r="J36" s="133">
        <f>D36</f>
        <v/>
      </c>
      <c r="K36">
        <f>IFERROR(VLOOKUP(B36,[1]Hoja1!$A$4:$B$48,2,),0)</f>
        <v/>
      </c>
      <c r="L36" s="199" t="n"/>
      <c r="M36" s="200" t="n"/>
    </row>
    <row r="37" ht="16.2" customHeight="1" s="137" thickBot="1">
      <c r="A37" s="9" t="inlineStr">
        <is>
          <t>Brinsa</t>
        </is>
      </c>
      <c r="B37" s="10" t="inlineStr">
        <is>
          <t>9040 ANGIE PAOLA CHAGUENDO</t>
        </is>
      </c>
      <c r="C37" s="198" t="n">
        <v>744134.1856</v>
      </c>
      <c r="D37" s="12" t="n">
        <v>144725</v>
      </c>
      <c r="E37" s="13">
        <f>D37/C37</f>
        <v/>
      </c>
      <c r="F37" s="14" t="n">
        <v>25</v>
      </c>
      <c r="G37" s="14" t="n">
        <v>4</v>
      </c>
      <c r="H37" s="15">
        <f>G37/F37</f>
        <v/>
      </c>
      <c r="I37" s="16">
        <f>F37-G37</f>
        <v/>
      </c>
      <c r="J37" s="133">
        <f>SUM(D37:D44)</f>
        <v/>
      </c>
      <c r="K37">
        <f>IFERROR(VLOOKUP(B37,[1]Hoja1!$A$4:$B$48,2,),0)</f>
        <v/>
      </c>
      <c r="L37" s="199" t="n"/>
      <c r="M37" s="200" t="n"/>
    </row>
    <row r="38" ht="16.2" customHeight="1" s="137">
      <c r="A38" s="26" t="inlineStr">
        <is>
          <t>Brinsa</t>
        </is>
      </c>
      <c r="B38" s="27" t="inlineStr">
        <is>
          <t>9041 DAVID PERDOMO</t>
        </is>
      </c>
      <c r="C38" s="202" t="n">
        <v>744134.1856</v>
      </c>
      <c r="D38" s="29" t="n">
        <v>135701</v>
      </c>
      <c r="E38" s="30">
        <f>D38/C38</f>
        <v/>
      </c>
      <c r="F38" s="31" t="n">
        <v>25</v>
      </c>
      <c r="G38" s="31" t="n">
        <v>5</v>
      </c>
      <c r="H38" s="32">
        <f>G38/F38</f>
        <v/>
      </c>
      <c r="I38" s="33">
        <f>F38-G38</f>
        <v/>
      </c>
      <c r="J38" s="135" t="n"/>
      <c r="K38">
        <f>IFERROR(VLOOKUP(B38,[1]Hoja1!$A$4:$B$48,2,),0)</f>
        <v/>
      </c>
      <c r="L38" s="199" t="n"/>
      <c r="M38" s="200" t="n"/>
    </row>
    <row r="39" ht="16.2" customHeight="1" s="137">
      <c r="A39" s="26" t="inlineStr">
        <is>
          <t>Brinsa</t>
        </is>
      </c>
      <c r="B39" s="27" t="inlineStr">
        <is>
          <t>9042 LEYDI CAROLINA ZUÑIGA CASTILLO</t>
        </is>
      </c>
      <c r="C39" s="202" t="n">
        <v>744134.1856</v>
      </c>
      <c r="D39" s="29" t="n">
        <v>150873</v>
      </c>
      <c r="E39" s="30">
        <f>D39/C39</f>
        <v/>
      </c>
      <c r="F39" s="31" t="n">
        <v>25</v>
      </c>
      <c r="G39" s="31" t="n">
        <v>3</v>
      </c>
      <c r="H39" s="32">
        <f>G39/F39</f>
        <v/>
      </c>
      <c r="I39" s="33">
        <f>F39-G39</f>
        <v/>
      </c>
      <c r="J39" s="135" t="n"/>
      <c r="K39">
        <f>IFERROR(VLOOKUP(B39,[1]Hoja1!$A$4:$B$48,2,),0)</f>
        <v/>
      </c>
      <c r="L39" s="199" t="n"/>
      <c r="M39" s="200" t="n"/>
    </row>
    <row r="40" ht="16.2" customHeight="1" s="137">
      <c r="A40" s="26" t="inlineStr">
        <is>
          <t>Brinsa</t>
        </is>
      </c>
      <c r="B40" s="27" t="inlineStr">
        <is>
          <t>9044 ALEXANDRA ERAZO</t>
        </is>
      </c>
      <c r="C40" s="202" t="n">
        <v>744134.1856</v>
      </c>
      <c r="D40" s="29" t="n">
        <v>76728</v>
      </c>
      <c r="E40" s="30">
        <f>D40/C40</f>
        <v/>
      </c>
      <c r="F40" s="31" t="n">
        <v>25</v>
      </c>
      <c r="G40" s="31" t="n">
        <v>2</v>
      </c>
      <c r="H40" s="32">
        <f>G40/F40</f>
        <v/>
      </c>
      <c r="I40" s="33">
        <f>F40-G40</f>
        <v/>
      </c>
      <c r="J40" s="135" t="n"/>
      <c r="K40">
        <f>IFERROR(VLOOKUP(B40,[1]Hoja1!$A$4:$B$48,2,),0)</f>
        <v/>
      </c>
      <c r="L40" s="199" t="n"/>
      <c r="M40" s="200" t="n"/>
    </row>
    <row r="41" ht="16.2" customHeight="1" s="137">
      <c r="A41" s="26" t="inlineStr">
        <is>
          <t>Brinsa</t>
        </is>
      </c>
      <c r="B41" s="27" t="inlineStr">
        <is>
          <t>9045 DIANA XIMENA SALAZAR</t>
        </is>
      </c>
      <c r="C41" s="202" t="n">
        <v>744134.1856</v>
      </c>
      <c r="D41" s="29" t="n">
        <v>2789524</v>
      </c>
      <c r="E41" s="30">
        <f>D41/C41</f>
        <v/>
      </c>
      <c r="F41" s="31" t="n">
        <v>25</v>
      </c>
      <c r="G41" s="31" t="n">
        <v>5</v>
      </c>
      <c r="H41" s="32">
        <f>G41/F41</f>
        <v/>
      </c>
      <c r="I41" s="33">
        <f>F41-G41</f>
        <v/>
      </c>
      <c r="J41" s="135" t="n"/>
      <c r="K41">
        <f>IFERROR(VLOOKUP(B41,[1]Hoja1!$A$4:$B$48,2,),0)</f>
        <v/>
      </c>
      <c r="L41" s="199" t="n"/>
      <c r="M41" s="200" t="n"/>
    </row>
    <row r="42" ht="16.2" customHeight="1" s="137">
      <c r="A42" s="26" t="inlineStr">
        <is>
          <t>Brinsa</t>
        </is>
      </c>
      <c r="B42" s="27" t="inlineStr">
        <is>
          <t>9046 LUIS ALFONSO CAMAYO</t>
        </is>
      </c>
      <c r="C42" s="202" t="n">
        <v>744134.1856</v>
      </c>
      <c r="D42" s="29" t="n">
        <v>51687</v>
      </c>
      <c r="E42" s="30">
        <f>D42/C42</f>
        <v/>
      </c>
      <c r="F42" s="31" t="n">
        <v>25</v>
      </c>
      <c r="G42" s="31" t="n">
        <v>2</v>
      </c>
      <c r="H42" s="32">
        <f>G42/F42</f>
        <v/>
      </c>
      <c r="I42" s="33">
        <f>F42-G42</f>
        <v/>
      </c>
      <c r="J42" s="135" t="n"/>
      <c r="K42">
        <f>IFERROR(VLOOKUP(B42,[1]Hoja1!$A$4:$B$48,2,),0)</f>
        <v/>
      </c>
      <c r="L42" s="199" t="n"/>
      <c r="M42" s="200" t="n"/>
    </row>
    <row r="43" ht="16.2" customHeight="1" s="137">
      <c r="A43" s="26" t="inlineStr">
        <is>
          <t>Brinsa</t>
        </is>
      </c>
      <c r="B43" s="34" t="inlineStr">
        <is>
          <t>9047 JUAN CARLOS MORALES</t>
        </is>
      </c>
      <c r="C43" s="203" t="n">
        <v>893894.1856</v>
      </c>
      <c r="D43" s="36" t="n">
        <v>5248333</v>
      </c>
      <c r="E43" s="37">
        <f>D43/C43</f>
        <v/>
      </c>
      <c r="F43" s="38" t="n">
        <v>20</v>
      </c>
      <c r="G43" s="38" t="n">
        <v>16</v>
      </c>
      <c r="H43" s="39">
        <f>G43/F43</f>
        <v/>
      </c>
      <c r="I43" s="40">
        <f>F43-G43</f>
        <v/>
      </c>
      <c r="J43" s="135" t="n"/>
      <c r="K43">
        <f>IFERROR(VLOOKUP(B43,[1]Hoja1!$A$4:$B$48,2,),0)</f>
        <v/>
      </c>
      <c r="L43" s="199" t="n"/>
      <c r="M43" s="200" t="n"/>
    </row>
    <row r="44" ht="16.2" customHeight="1" s="137" thickBot="1">
      <c r="A44" s="18" t="inlineStr">
        <is>
          <t>Brinsa</t>
        </is>
      </c>
      <c r="B44" s="49" t="inlineStr">
        <is>
          <t>9048 ESTEBAN IMBACHI</t>
        </is>
      </c>
      <c r="C44" s="205" t="n">
        <v>893894.1439999999</v>
      </c>
      <c r="D44" s="51" t="n">
        <v>511650</v>
      </c>
      <c r="E44" s="52">
        <f>D44/C44</f>
        <v/>
      </c>
      <c r="F44" s="53" t="n">
        <v>20</v>
      </c>
      <c r="G44" s="53" t="n">
        <v>9</v>
      </c>
      <c r="H44" s="54">
        <f>G44/F44</f>
        <v/>
      </c>
      <c r="I44" s="55">
        <f>F44-G44</f>
        <v/>
      </c>
      <c r="J44" s="134" t="n"/>
      <c r="K44">
        <f>IFERROR(VLOOKUP(B44,[1]Hoja1!$A$4:$B$48,2,),0)</f>
        <v/>
      </c>
      <c r="L44" s="199" t="n"/>
      <c r="M44" s="200" t="n"/>
    </row>
    <row r="45" ht="16.2" customHeight="1" s="137" thickBot="1">
      <c r="A45" s="9" t="inlineStr">
        <is>
          <t>Alimentos Polar</t>
        </is>
      </c>
      <c r="B45" s="56" t="inlineStr">
        <is>
          <t>9050 MARIA CAMILA RAMIREZ</t>
        </is>
      </c>
      <c r="C45" s="206" t="n">
        <v>2356623.36</v>
      </c>
      <c r="D45" s="58" t="n">
        <v>399745</v>
      </c>
      <c r="E45" s="59">
        <f>D45/C45</f>
        <v/>
      </c>
      <c r="F45" s="60" t="n">
        <v>42</v>
      </c>
      <c r="G45" s="60" t="n">
        <v>9</v>
      </c>
      <c r="H45" s="61">
        <f>G45/F45</f>
        <v/>
      </c>
      <c r="I45" s="62">
        <f>F45-G45</f>
        <v/>
      </c>
      <c r="J45" s="133">
        <f>SUM(D45:D48)</f>
        <v/>
      </c>
      <c r="K45">
        <f>IFERROR(VLOOKUP(B45,[1]Hoja1!$A$4:$B$48,2,),0)</f>
        <v/>
      </c>
      <c r="L45" s="199" t="n"/>
      <c r="M45" s="200" t="n"/>
    </row>
    <row r="46" ht="16.2" customHeight="1" s="137">
      <c r="A46" s="26" t="inlineStr">
        <is>
          <t>Alimentos Polar</t>
        </is>
      </c>
      <c r="B46" s="27" t="inlineStr">
        <is>
          <t>9051 SORY BOLAÑOS</t>
        </is>
      </c>
      <c r="C46" s="202" t="n">
        <v>1876992</v>
      </c>
      <c r="D46" s="29" t="n">
        <v>387831</v>
      </c>
      <c r="E46" s="30">
        <f>D46/C46</f>
        <v/>
      </c>
      <c r="F46" s="31" t="n">
        <v>42</v>
      </c>
      <c r="G46" s="31" t="n">
        <v>14</v>
      </c>
      <c r="H46" s="32">
        <f>G46/F46</f>
        <v/>
      </c>
      <c r="I46" s="33">
        <f>F46-G46</f>
        <v/>
      </c>
      <c r="J46" s="135" t="n"/>
      <c r="K46">
        <f>IFERROR(VLOOKUP(B46,[1]Hoja1!$A$4:$B$48,2,),0)</f>
        <v/>
      </c>
      <c r="L46" s="199" t="n"/>
      <c r="M46" s="200" t="n"/>
    </row>
    <row r="47" ht="16.2" customHeight="1" s="137">
      <c r="A47" s="26" t="inlineStr">
        <is>
          <t>Alimentos Polar</t>
        </is>
      </c>
      <c r="B47" s="27" t="inlineStr">
        <is>
          <t>9052 ANA CRISTINA MAGUIÑA ORTIZ</t>
        </is>
      </c>
      <c r="C47" s="202" t="n">
        <v>3320977.92</v>
      </c>
      <c r="D47" s="29" t="n">
        <v>725808</v>
      </c>
      <c r="E47" s="30">
        <f>D47/C47</f>
        <v/>
      </c>
      <c r="F47" s="31" t="n">
        <v>42</v>
      </c>
      <c r="G47" s="31" t="n">
        <v>13</v>
      </c>
      <c r="H47" s="32">
        <f>G47/F47</f>
        <v/>
      </c>
      <c r="I47" s="33">
        <f>F47-G47</f>
        <v/>
      </c>
      <c r="J47" s="135" t="n"/>
      <c r="K47">
        <f>IFERROR(VLOOKUP(B47,[1]Hoja1!$A$4:$B$48,2,),0)</f>
        <v/>
      </c>
      <c r="L47" s="199" t="n"/>
      <c r="M47" s="200" t="n"/>
    </row>
    <row r="48" ht="16.2" customHeight="1" s="137" thickBot="1">
      <c r="A48" s="26" t="inlineStr">
        <is>
          <t>Alimentos Polar</t>
        </is>
      </c>
      <c r="B48" s="27" t="inlineStr">
        <is>
          <t>9053 LIZETH FERNANDA GUZMAN</t>
        </is>
      </c>
      <c r="C48" s="202" t="n">
        <v>2558400</v>
      </c>
      <c r="D48" s="29" t="n">
        <v>1599658</v>
      </c>
      <c r="E48" s="30">
        <f>D48/C48</f>
        <v/>
      </c>
      <c r="F48" s="31" t="n">
        <v>42</v>
      </c>
      <c r="G48" s="31" t="n">
        <v>24</v>
      </c>
      <c r="H48" s="32">
        <f>G48/F48</f>
        <v/>
      </c>
      <c r="I48" s="33">
        <f>F48-G48</f>
        <v/>
      </c>
      <c r="J48" s="134" t="n"/>
      <c r="K48">
        <f>IFERROR(VLOOKUP(B48,[1]Hoja1!$A$4:$B$48,2,),0)</f>
        <v/>
      </c>
      <c r="L48" s="199" t="n"/>
      <c r="M48" s="200" t="n"/>
    </row>
    <row r="49" ht="16.2" customHeight="1" s="137" thickBot="1">
      <c r="A49" s="26" t="n"/>
      <c r="B49" s="27" t="n"/>
      <c r="C49" s="207" t="n"/>
      <c r="D49" s="29" t="n"/>
      <c r="E49" s="30" t="n"/>
      <c r="F49" s="31" t="n"/>
      <c r="G49" s="31" t="n"/>
      <c r="H49" s="32" t="n"/>
      <c r="I49" s="33" t="n"/>
      <c r="J49" s="133">
        <f>J45+J37+J36+J28+J20+J12+J4+J2</f>
        <v/>
      </c>
      <c r="K49">
        <f>IFERROR(VLOOKUP(B49,[1]Hoja1!$A$4:$B$48,2,),0)</f>
        <v/>
      </c>
      <c r="M49" s="200">
        <f>L49/25</f>
        <v/>
      </c>
    </row>
    <row r="50" ht="16.2" customHeight="1" s="137" thickBot="1">
      <c r="A50" s="18" t="n"/>
      <c r="B50" s="64" t="inlineStr">
        <is>
          <t>Total general</t>
        </is>
      </c>
      <c r="C50" s="208">
        <f>SUM(C2:C49)</f>
        <v/>
      </c>
      <c r="D50" s="66" t="n">
        <v>0</v>
      </c>
      <c r="E50" s="67">
        <f>D50/C50</f>
        <v/>
      </c>
      <c r="F50" s="68">
        <f>SUM(F2:F49)</f>
        <v/>
      </c>
      <c r="G50" s="68" t="n">
        <v>0</v>
      </c>
      <c r="H50" s="69">
        <f>G50/F50</f>
        <v/>
      </c>
      <c r="I50" s="70">
        <f>F50-G50</f>
        <v/>
      </c>
      <c r="J50" s="134" t="n"/>
    </row>
  </sheetData>
  <mergeCells count="8">
    <mergeCell ref="J4:J11"/>
    <mergeCell ref="J12:J19"/>
    <mergeCell ref="J45:J48"/>
    <mergeCell ref="J20:J27"/>
    <mergeCell ref="J28:J35"/>
    <mergeCell ref="J2:J3"/>
    <mergeCell ref="J49:J50"/>
    <mergeCell ref="J37:J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6"/>
  <sheetViews>
    <sheetView topLeftCell="A3" workbookViewId="0">
      <selection activeCell="B1" sqref="B1:I26"/>
    </sheetView>
  </sheetViews>
  <sheetFormatPr baseColWidth="10" defaultColWidth="8.88671875" defaultRowHeight="14.4"/>
  <cols>
    <col width="3" customWidth="1" style="137" min="1" max="1"/>
    <col width="22" customWidth="1" style="137" min="2" max="2"/>
    <col width="18" customWidth="1" style="137" min="3" max="3"/>
    <col width="20" customWidth="1" style="137" min="4" max="4"/>
    <col width="18" customWidth="1" style="137" min="5" max="6"/>
    <col width="14" customWidth="1" style="137" min="7" max="7"/>
    <col width="18" customWidth="1" style="137" min="8" max="8"/>
    <col width="12.109375" bestFit="1" customWidth="1" style="137" min="9" max="9"/>
  </cols>
  <sheetData>
    <row r="1" ht="12" customHeight="1" s="137">
      <c r="B1" s="136" t="inlineStr">
        <is>
          <t>INFORME DE VENTAS — Abril 2025</t>
        </is>
      </c>
    </row>
    <row r="2" ht="24" customHeight="1" s="137"/>
    <row r="3" ht="12" customHeight="1" s="137"/>
    <row r="4" ht="18" customHeight="1" s="137">
      <c r="B4" s="142" t="inlineStr">
        <is>
          <t>Dirección Comercial  |  47 asesores activos  |  8 unidades de negocio</t>
        </is>
      </c>
    </row>
    <row r="5" ht="7.5" customHeight="1" s="137"/>
    <row r="6" ht="15.75" customHeight="1" s="137">
      <c r="B6" s="140" t="inlineStr">
        <is>
          <t>VENTA DÍA TOTAL</t>
        </is>
      </c>
      <c r="D6" s="145" t="inlineStr">
        <is>
          <t>PRESUPUESTO DÍA</t>
        </is>
      </c>
      <c r="F6" s="138" t="inlineStr">
        <is>
          <t>CUMPL. PRESUPUESTO</t>
        </is>
      </c>
      <c r="H6" s="148" t="inlineStr">
        <is>
          <t>CUMPL. PLAN PEDIDOS</t>
        </is>
      </c>
    </row>
    <row r="7" ht="18" customHeight="1" s="137">
      <c r="B7" s="144">
        <f>TEXT(SUMIF(Datos!A2:A49,"&lt;&gt;"&amp;"",Datos!D2:D49)/1000000,"$#,##0.00")&amp;"M"</f>
        <v/>
      </c>
      <c r="D7" s="139">
        <f>TEXT(SUMIF(Datos!A2:A49,"&lt;&gt;"&amp;"",Datos!C2:C49)/1000000,"$#,##0.00")&amp;"M"</f>
        <v/>
      </c>
      <c r="F7" s="146">
        <f>TEXT(SUMIF(Datos!A2:A49,"&lt;&gt;"&amp;"",Datos!D2:D49)/SUMIF(Datos!A2:A49,"&lt;&gt;"&amp;"",Datos!C2:C49),"0.0%")</f>
        <v/>
      </c>
      <c r="H7" s="141">
        <f>TEXT(SUMIF(Datos!A2:A49,"&lt;&gt;"&amp;"",Datos!G2:G49)/SUMIF(Datos!A2:A49,"&lt;&gt;"&amp;"",Datos!F2:F49),"0.0%")</f>
        <v/>
      </c>
    </row>
    <row r="8"/>
    <row r="9"/>
    <row r="10" ht="7.5" customHeight="1" s="137"/>
    <row r="11" ht="15.75" customHeight="1" s="137">
      <c r="B11" s="149" t="inlineStr">
        <is>
          <t>FACTURAS EMITIDAS</t>
        </is>
      </c>
      <c r="D11" s="138" t="inlineStr">
        <is>
          <t>ASESORES CUMPLEN META</t>
        </is>
      </c>
      <c r="F11" s="140" t="inlineStr">
        <is>
          <t>MEJOR UN (VENTA DÍA)</t>
        </is>
      </c>
      <c r="H11" s="138" t="inlineStr">
        <is>
          <t>UN CRÍTICA (CUMPL.)</t>
        </is>
      </c>
    </row>
    <row r="12" ht="18" customHeight="1" s="137">
      <c r="B12" s="147">
        <f>TEXT(SUMIF(Datos!A2:A49,"&lt;&gt;"&amp;"",Datos!G2:G49),"#,##0")&amp;" / "&amp;TEXT(SUMIF(Datos!A2:A49,"&lt;&gt;"&amp;"",Datos!F2:F49),"#,##0")</f>
        <v/>
      </c>
      <c r="D12" s="151">
        <f>TEXT(COUNTIF(Datos!E2:E49,"&gt;="&amp;0.9),"0")&amp;" / "&amp;TEXT(COUNTA(Datos!B2:B49)-1,"0")</f>
        <v/>
      </c>
      <c r="F12" s="150">
        <f>INDEX(Datos!A2:A49,MATCH(MAX(Datos!D2:D49),Datos!D2:D49,0))</f>
        <v/>
      </c>
      <c r="H12" s="151">
        <f>INDEX(Datos!A2:A49,MATCH(MIN(Datos!E2:E49),Datos!E2:E49,0))</f>
        <v/>
      </c>
    </row>
    <row r="13"/>
    <row r="14"/>
    <row r="15" ht="7.5" customHeight="1" s="137"/>
    <row r="16" ht="19.5" customHeight="1" s="137">
      <c r="B16" s="143" t="inlineStr">
        <is>
          <t>RESUMEN POR UNIDAD DE NEGOCIO</t>
        </is>
      </c>
    </row>
    <row r="17" ht="19.5" customHeight="1" s="137">
      <c r="B17" s="140" t="inlineStr">
        <is>
          <t>Unidad de Negocio</t>
        </is>
      </c>
      <c r="C17" s="140" t="inlineStr">
        <is>
          <t>Asesores</t>
        </is>
      </c>
      <c r="D17" s="140" t="inlineStr">
        <is>
          <t>Presupuesto Día</t>
        </is>
      </c>
      <c r="E17" s="140" t="inlineStr">
        <is>
          <t>Venta Día</t>
        </is>
      </c>
      <c r="F17" s="140" t="inlineStr">
        <is>
          <t>% Cumpl. Ppto</t>
        </is>
      </c>
      <c r="G17" s="140" t="inlineStr">
        <is>
          <t>Facturas</t>
        </is>
      </c>
      <c r="H17" s="140" t="inlineStr">
        <is>
          <t>Obj. Plan</t>
        </is>
      </c>
      <c r="I17" s="140" t="inlineStr">
        <is>
          <t>% Cumpl. Plan</t>
        </is>
      </c>
    </row>
    <row r="18" ht="15.75" customHeight="1" s="137">
      <c r="B18" s="73" t="inlineStr">
        <is>
          <t>Sanin</t>
        </is>
      </c>
      <c r="C18" s="74" t="n">
        <v>8</v>
      </c>
      <c r="D18" s="75">
        <f>Datos!C4+Datos!C5+Datos!C6+Datos!C7+Datos!C8+Datos!C9+Datos!C10+Datos!C11</f>
        <v/>
      </c>
      <c r="E18" s="76">
        <f>Datos!D4+Datos!D5+Datos!D6+Datos!D7+Datos!D8+Datos!D9+Datos!D10+Datos!D11</f>
        <v/>
      </c>
      <c r="F18" s="209">
        <f>E18/D18</f>
        <v/>
      </c>
      <c r="G18" s="78">
        <f>Datos!G4+Datos!G5+Datos!G6+Datos!G7+Datos!G8+Datos!G9+Datos!G10+Datos!G11</f>
        <v/>
      </c>
      <c r="H18" s="78">
        <f>Datos!F4+Datos!F5+Datos!F6+Datos!F7+Datos!F8+Datos!F9+Datos!F10+Datos!F11</f>
        <v/>
      </c>
      <c r="I18" s="209">
        <f>G18/H18</f>
        <v/>
      </c>
    </row>
    <row r="19" ht="15.75" customHeight="1" s="137">
      <c r="B19" s="79" t="inlineStr">
        <is>
          <t>Casa Luker</t>
        </is>
      </c>
      <c r="C19" s="80" t="n">
        <v>8</v>
      </c>
      <c r="D19" s="81">
        <f>Datos!C20+Datos!C21+Datos!C22+Datos!C23+Datos!C24+Datos!C25+Datos!C26+Datos!C27</f>
        <v/>
      </c>
      <c r="E19" s="82">
        <f>Datos!D20+Datos!D21+Datos!D22+Datos!D23+Datos!D24+Datos!D25+Datos!D26+Datos!D27</f>
        <v/>
      </c>
      <c r="F19" s="210">
        <f>E19/D19</f>
        <v/>
      </c>
      <c r="G19" s="84">
        <f>Datos!G20+Datos!G21+Datos!G22+Datos!G23+Datos!G24+Datos!G25+Datos!G26+Datos!G27</f>
        <v/>
      </c>
      <c r="H19" s="84">
        <f>Datos!F20+Datos!F21+Datos!F22+Datos!F23+Datos!F24+Datos!F25+Datos!F26+Datos!F27</f>
        <v/>
      </c>
      <c r="I19" s="210">
        <f>G19/H19</f>
        <v/>
      </c>
    </row>
    <row r="20" ht="15.75" customHeight="1" s="137">
      <c r="B20" s="85" t="inlineStr">
        <is>
          <t>Colombina</t>
        </is>
      </c>
      <c r="C20" s="74" t="n">
        <v>8</v>
      </c>
      <c r="D20" s="75">
        <f>Datos!C12+Datos!C13+Datos!C14+Datos!C15+Datos!C16+Datos!C17+Datos!C18+Datos!C19</f>
        <v/>
      </c>
      <c r="E20" s="76">
        <f>Datos!D12+Datos!D13+Datos!D14+Datos!D15+Datos!D16+Datos!D17+Datos!D18+Datos!D19</f>
        <v/>
      </c>
      <c r="F20" s="209">
        <f>E20/D20</f>
        <v/>
      </c>
      <c r="G20" s="78">
        <f>Datos!G12+Datos!G13+Datos!G14+Datos!G15+Datos!G16+Datos!G17+Datos!G18+Datos!G19</f>
        <v/>
      </c>
      <c r="H20" s="78">
        <f>Datos!F12+Datos!F13+Datos!F14+Datos!F15+Datos!F16+Datos!F17+Datos!F18+Datos!F19</f>
        <v/>
      </c>
      <c r="I20" s="209">
        <f>G20/H20</f>
        <v/>
      </c>
    </row>
    <row r="21" ht="15.75" customHeight="1" s="137">
      <c r="B21" s="86" t="inlineStr">
        <is>
          <t>Tecnoquimicas</t>
        </is>
      </c>
      <c r="C21" s="80" t="n">
        <v>8</v>
      </c>
      <c r="D21" s="81">
        <f>Datos!C28+Datos!C29+Datos!C30+Datos!C31+Datos!C32+Datos!C33+Datos!C34+Datos!C35</f>
        <v/>
      </c>
      <c r="E21" s="82">
        <f>Datos!D28+Datos!D29+Datos!D30+Datos!D31+Datos!D32+Datos!D33+Datos!D34+Datos!D35</f>
        <v/>
      </c>
      <c r="F21" s="210">
        <f>E21/D21</f>
        <v/>
      </c>
      <c r="G21" s="84">
        <f>Datos!G28+Datos!G29+Datos!G30+Datos!G31+Datos!G32+Datos!G33+Datos!G34+Datos!G35</f>
        <v/>
      </c>
      <c r="H21" s="84">
        <f>Datos!F28+Datos!F29+Datos!F30+Datos!F31+Datos!F32+Datos!F33+Datos!F34+Datos!F35</f>
        <v/>
      </c>
      <c r="I21" s="210">
        <f>G21/H21</f>
        <v/>
      </c>
    </row>
    <row r="22" ht="15.75" customHeight="1" s="137">
      <c r="B22" s="87" t="inlineStr">
        <is>
          <t>Clientes Especiales</t>
        </is>
      </c>
      <c r="C22" s="74" t="n">
        <v>1</v>
      </c>
      <c r="D22" s="75">
        <f>Datos!C36</f>
        <v/>
      </c>
      <c r="E22" s="76">
        <f>Datos!D36</f>
        <v/>
      </c>
      <c r="F22" s="209">
        <f>E22/D22</f>
        <v/>
      </c>
      <c r="G22" s="78">
        <f>Datos!G36</f>
        <v/>
      </c>
      <c r="H22" s="78">
        <f>Datos!F36</f>
        <v/>
      </c>
      <c r="I22" s="209">
        <f>G22/H22</f>
        <v/>
      </c>
    </row>
    <row r="23" ht="15.75" customHeight="1" s="137">
      <c r="B23" s="88" t="inlineStr">
        <is>
          <t>Brinsa</t>
        </is>
      </c>
      <c r="C23" s="80" t="n">
        <v>8</v>
      </c>
      <c r="D23" s="81">
        <f>Datos!C37+Datos!C38+Datos!C39+Datos!C40+Datos!C41+Datos!C42+Datos!C43+Datos!C44</f>
        <v/>
      </c>
      <c r="E23" s="82">
        <f>Datos!D37+Datos!D38+Datos!D39+Datos!D40+Datos!D41+Datos!D42+Datos!D43+Datos!D44</f>
        <v/>
      </c>
      <c r="F23" s="210">
        <f>E23/D23</f>
        <v/>
      </c>
      <c r="G23" s="84">
        <f>Datos!G37+Datos!G38+Datos!G39+Datos!G40+Datos!G41+Datos!G42+Datos!G43+Datos!G44</f>
        <v/>
      </c>
      <c r="H23" s="84">
        <f>Datos!F37+Datos!F38+Datos!F39+Datos!F40+Datos!F41+Datos!F42+Datos!F43+Datos!F44</f>
        <v/>
      </c>
      <c r="I23" s="210">
        <f>G23/H23</f>
        <v/>
      </c>
    </row>
    <row r="24" ht="15.75" customHeight="1" s="137">
      <c r="B24" s="89" t="inlineStr">
        <is>
          <t>Colombina Helados</t>
        </is>
      </c>
      <c r="C24" s="74" t="n">
        <v>2</v>
      </c>
      <c r="D24" s="75">
        <f>Datos!C2+Datos!C3</f>
        <v/>
      </c>
      <c r="E24" s="76">
        <f>Datos!D2+Datos!D3</f>
        <v/>
      </c>
      <c r="F24" s="209">
        <f>E24/D24</f>
        <v/>
      </c>
      <c r="G24" s="78">
        <f>Datos!G2+Datos!G3</f>
        <v/>
      </c>
      <c r="H24" s="78">
        <f>Datos!F2+Datos!F3</f>
        <v/>
      </c>
      <c r="I24" s="209">
        <f>G24/H24</f>
        <v/>
      </c>
    </row>
    <row r="25" ht="15.75" customHeight="1" s="137">
      <c r="B25" s="90" t="inlineStr">
        <is>
          <t>Alimentos Polar</t>
        </is>
      </c>
      <c r="C25" s="80" t="n">
        <v>4</v>
      </c>
      <c r="D25" s="81">
        <f>Datos!C45+Datos!C46+Datos!C47+Datos!C48</f>
        <v/>
      </c>
      <c r="E25" s="82">
        <f>Datos!D45+Datos!D46+Datos!D47+Datos!D48</f>
        <v/>
      </c>
      <c r="F25" s="210">
        <f>E25/D25</f>
        <v/>
      </c>
      <c r="G25" s="84">
        <f>Datos!G45+Datos!G46+Datos!G47+Datos!G48</f>
        <v/>
      </c>
      <c r="H25" s="84">
        <f>Datos!F45+Datos!F46+Datos!F47+Datos!F48</f>
        <v/>
      </c>
      <c r="I25" s="210">
        <f>G25/H25</f>
        <v/>
      </c>
    </row>
    <row r="26" ht="19.5" customHeight="1" s="137">
      <c r="B26" s="91" t="inlineStr">
        <is>
          <t>TOTAL GENERAL</t>
        </is>
      </c>
      <c r="C26" s="145">
        <f>SUM(C18:C25)</f>
        <v/>
      </c>
      <c r="D26" s="92">
        <f>SUM(D18:D25)</f>
        <v/>
      </c>
      <c r="E26" s="93">
        <f>SUM(E18:E25)</f>
        <v/>
      </c>
      <c r="F26" s="211">
        <f>E26/D26</f>
        <v/>
      </c>
      <c r="G26" s="95">
        <f>SUM(G18:G25)</f>
        <v/>
      </c>
      <c r="H26" s="95">
        <f>SUM(H18:H25)</f>
        <v/>
      </c>
      <c r="I26" s="211">
        <f>G26/H26</f>
        <v/>
      </c>
    </row>
  </sheetData>
  <mergeCells count="19">
    <mergeCell ref="F11:G11"/>
    <mergeCell ref="B16:I16"/>
    <mergeCell ref="B7:C9"/>
    <mergeCell ref="F6:G6"/>
    <mergeCell ref="D6:E6"/>
    <mergeCell ref="F7:G9"/>
    <mergeCell ref="B12:C14"/>
    <mergeCell ref="H6:I6"/>
    <mergeCell ref="B11:C11"/>
    <mergeCell ref="D11:E11"/>
    <mergeCell ref="F12:G14"/>
    <mergeCell ref="B1:I3"/>
    <mergeCell ref="H11:I11"/>
    <mergeCell ref="D7:E9"/>
    <mergeCell ref="B6:C6"/>
    <mergeCell ref="D12:E14"/>
    <mergeCell ref="H7:I9"/>
    <mergeCell ref="H12:I14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61"/>
  <sheetViews>
    <sheetView workbookViewId="0">
      <selection activeCell="B1" sqref="B1:K61"/>
    </sheetView>
  </sheetViews>
  <sheetFormatPr baseColWidth="10" defaultColWidth="8.88671875" defaultRowHeight="14.4"/>
  <cols>
    <col width="3" customWidth="1" style="137" min="1" max="1"/>
    <col width="24" customWidth="1" style="137" min="2" max="2"/>
    <col width="30" customWidth="1" style="137" min="3" max="3"/>
    <col width="15" customWidth="1" style="137" min="4" max="5"/>
    <col width="14" customWidth="1" style="137" min="6" max="6"/>
    <col width="12" customWidth="1" style="137" min="7" max="8"/>
    <col width="13" customWidth="1" style="137" min="9" max="9"/>
    <col width="14" customWidth="1" style="137" min="10" max="10"/>
    <col width="3" customWidth="1" style="137" min="11" max="11"/>
  </cols>
  <sheetData>
    <row r="1">
      <c r="B1" s="136" t="inlineStr">
        <is>
          <t>DETALLE ASESORES COMERCIALES</t>
        </is>
      </c>
    </row>
    <row r="2"/>
    <row r="3"/>
    <row r="4">
      <c r="B4" s="152" t="inlineStr">
        <is>
          <t>Ordenado por unidad de negocio y venta día  |  Semáforo: verde ≥90% · amarillo ≥70% · naranja ≥50% · rojo &lt;50%</t>
        </is>
      </c>
    </row>
    <row r="5" ht="19.5" customHeight="1" s="137">
      <c r="B5" s="145" t="inlineStr">
        <is>
          <t>Unidad de Negocio</t>
        </is>
      </c>
      <c r="C5" s="145" t="inlineStr">
        <is>
          <t>Asesor</t>
        </is>
      </c>
      <c r="D5" s="145" t="inlineStr">
        <is>
          <t>Ppto Día ($)</t>
        </is>
      </c>
      <c r="E5" s="145" t="inlineStr">
        <is>
          <t>Venta Día ($)</t>
        </is>
      </c>
      <c r="F5" s="145" t="inlineStr">
        <is>
          <t>% Cumpl. Ppto</t>
        </is>
      </c>
      <c r="G5" s="145" t="inlineStr">
        <is>
          <t># Facturas</t>
        </is>
      </c>
      <c r="H5" s="145" t="inlineStr">
        <is>
          <t>Obj. Plan</t>
        </is>
      </c>
      <c r="I5" s="145" t="inlineStr">
        <is>
          <t>Faltante</t>
        </is>
      </c>
      <c r="J5" s="145" t="inlineStr">
        <is>
          <t>% Cumpl. Plan</t>
        </is>
      </c>
    </row>
    <row r="6" ht="15.75" customHeight="1" s="137">
      <c r="B6" s="96" t="inlineStr">
        <is>
          <t>Sanin</t>
        </is>
      </c>
      <c r="C6" s="97">
        <f>IF(ISNUMBER(VALUE(LEFT(Datos!B4,4))),MID(Datos!B4,6,100),Datos!B4)</f>
        <v/>
      </c>
      <c r="D6" s="98">
        <f>Datos!C4</f>
        <v/>
      </c>
      <c r="E6" s="99">
        <f>Datos!D4</f>
        <v/>
      </c>
      <c r="F6" s="212">
        <f>Datos!E4</f>
        <v/>
      </c>
      <c r="G6" s="101">
        <f>Datos!G4</f>
        <v/>
      </c>
      <c r="H6" s="101">
        <f>Datos!F4</f>
        <v/>
      </c>
      <c r="I6" s="101">
        <f>Datos!I4</f>
        <v/>
      </c>
      <c r="J6" s="212">
        <f>Datos!H4</f>
        <v/>
      </c>
    </row>
    <row r="7" ht="15.75" customHeight="1" s="137">
      <c r="B7" s="96" t="inlineStr">
        <is>
          <t>Sanin</t>
        </is>
      </c>
      <c r="C7" s="102">
        <f>IF(ISNUMBER(VALUE(LEFT(Datos!B5,4))),MID(Datos!B5,6,100),Datos!B5)</f>
        <v/>
      </c>
      <c r="D7" s="103">
        <f>Datos!C5</f>
        <v/>
      </c>
      <c r="E7" s="104">
        <f>Datos!D5</f>
        <v/>
      </c>
      <c r="F7" s="213">
        <f>Datos!E5</f>
        <v/>
      </c>
      <c r="G7" s="106">
        <f>Datos!G5</f>
        <v/>
      </c>
      <c r="H7" s="106">
        <f>Datos!F5</f>
        <v/>
      </c>
      <c r="I7" s="106">
        <f>Datos!I5</f>
        <v/>
      </c>
      <c r="J7" s="213">
        <f>Datos!H5</f>
        <v/>
      </c>
    </row>
    <row r="8" ht="15.75" customHeight="1" s="137">
      <c r="B8" s="96" t="inlineStr">
        <is>
          <t>Sanin</t>
        </is>
      </c>
      <c r="C8" s="97">
        <f>IF(ISNUMBER(VALUE(LEFT(Datos!B6,4))),MID(Datos!B6,6,100),Datos!B6)</f>
        <v/>
      </c>
      <c r="D8" s="98">
        <f>Datos!C6</f>
        <v/>
      </c>
      <c r="E8" s="99">
        <f>Datos!D6</f>
        <v/>
      </c>
      <c r="F8" s="212">
        <f>Datos!E6</f>
        <v/>
      </c>
      <c r="G8" s="101">
        <f>Datos!G6</f>
        <v/>
      </c>
      <c r="H8" s="101">
        <f>Datos!F6</f>
        <v/>
      </c>
      <c r="I8" s="101">
        <f>Datos!I6</f>
        <v/>
      </c>
      <c r="J8" s="212">
        <f>Datos!H6</f>
        <v/>
      </c>
    </row>
    <row r="9" ht="15.75" customHeight="1" s="137">
      <c r="B9" s="96" t="inlineStr">
        <is>
          <t>Sanin</t>
        </is>
      </c>
      <c r="C9" s="102">
        <f>IF(ISNUMBER(VALUE(LEFT(Datos!B7,4))),MID(Datos!B7,6,100),Datos!B7)</f>
        <v/>
      </c>
      <c r="D9" s="103">
        <f>Datos!C7</f>
        <v/>
      </c>
      <c r="E9" s="104">
        <f>Datos!D7</f>
        <v/>
      </c>
      <c r="F9" s="213">
        <f>Datos!E7</f>
        <v/>
      </c>
      <c r="G9" s="106">
        <f>Datos!G7</f>
        <v/>
      </c>
      <c r="H9" s="106">
        <f>Datos!F7</f>
        <v/>
      </c>
      <c r="I9" s="106">
        <f>Datos!I7</f>
        <v/>
      </c>
      <c r="J9" s="213">
        <f>Datos!H7</f>
        <v/>
      </c>
    </row>
    <row r="10" ht="15.75" customHeight="1" s="137">
      <c r="B10" s="96" t="inlineStr">
        <is>
          <t>Sanin</t>
        </is>
      </c>
      <c r="C10" s="97">
        <f>IF(ISNUMBER(VALUE(LEFT(Datos!B8,4))),MID(Datos!B8,6,100),Datos!B8)</f>
        <v/>
      </c>
      <c r="D10" s="98">
        <f>Datos!C8</f>
        <v/>
      </c>
      <c r="E10" s="99">
        <f>Datos!D8</f>
        <v/>
      </c>
      <c r="F10" s="212">
        <f>Datos!E8</f>
        <v/>
      </c>
      <c r="G10" s="101">
        <f>Datos!G8</f>
        <v/>
      </c>
      <c r="H10" s="101">
        <f>Datos!F8</f>
        <v/>
      </c>
      <c r="I10" s="101">
        <f>Datos!I8</f>
        <v/>
      </c>
      <c r="J10" s="212">
        <f>Datos!H8</f>
        <v/>
      </c>
    </row>
    <row r="11" ht="15.75" customHeight="1" s="137">
      <c r="B11" s="96" t="inlineStr">
        <is>
          <t>Sanin</t>
        </is>
      </c>
      <c r="C11" s="102">
        <f>IF(ISNUMBER(VALUE(LEFT(Datos!B9,4))),MID(Datos!B9,6,100),Datos!B9)</f>
        <v/>
      </c>
      <c r="D11" s="103">
        <f>Datos!C9</f>
        <v/>
      </c>
      <c r="E11" s="104">
        <f>Datos!D9</f>
        <v/>
      </c>
      <c r="F11" s="213">
        <f>Datos!E9</f>
        <v/>
      </c>
      <c r="G11" s="106">
        <f>Datos!G9</f>
        <v/>
      </c>
      <c r="H11" s="106">
        <f>Datos!F9</f>
        <v/>
      </c>
      <c r="I11" s="106">
        <f>Datos!I9</f>
        <v/>
      </c>
      <c r="J11" s="213">
        <f>Datos!H9</f>
        <v/>
      </c>
    </row>
    <row r="12" ht="15.75" customHeight="1" s="137">
      <c r="B12" s="96" t="inlineStr">
        <is>
          <t>Sanin</t>
        </is>
      </c>
      <c r="C12" s="97">
        <f>IF(ISNUMBER(VALUE(LEFT(Datos!B10,4))),MID(Datos!B10,6,100),Datos!B10)</f>
        <v/>
      </c>
      <c r="D12" s="98">
        <f>Datos!C10</f>
        <v/>
      </c>
      <c r="E12" s="99">
        <f>Datos!D10</f>
        <v/>
      </c>
      <c r="F12" s="212">
        <f>Datos!E10</f>
        <v/>
      </c>
      <c r="G12" s="101">
        <f>Datos!G10</f>
        <v/>
      </c>
      <c r="H12" s="101">
        <f>Datos!F10</f>
        <v/>
      </c>
      <c r="I12" s="101">
        <f>Datos!I10</f>
        <v/>
      </c>
      <c r="J12" s="212">
        <f>Datos!H10</f>
        <v/>
      </c>
    </row>
    <row r="13" ht="15.75" customHeight="1" s="137">
      <c r="B13" s="96" t="inlineStr">
        <is>
          <t>Sanin</t>
        </is>
      </c>
      <c r="C13" s="102">
        <f>IF(ISNUMBER(VALUE(LEFT(Datos!B11,4))),MID(Datos!B11,6,100),Datos!B11)</f>
        <v/>
      </c>
      <c r="D13" s="103">
        <f>Datos!C11</f>
        <v/>
      </c>
      <c r="E13" s="104">
        <f>Datos!D11</f>
        <v/>
      </c>
      <c r="F13" s="213">
        <f>Datos!E11</f>
        <v/>
      </c>
      <c r="G13" s="106">
        <f>Datos!G11</f>
        <v/>
      </c>
      <c r="H13" s="106">
        <f>Datos!F11</f>
        <v/>
      </c>
      <c r="I13" s="106">
        <f>Datos!I11</f>
        <v/>
      </c>
      <c r="J13" s="213">
        <f>Datos!H11</f>
        <v/>
      </c>
    </row>
    <row r="14" ht="16.05" customHeight="1" s="137">
      <c r="B14" s="127" t="inlineStr">
        <is>
          <t>TOTAL SANIN</t>
        </is>
      </c>
      <c r="C14" s="128" t="n"/>
      <c r="D14" s="108">
        <f>SUM(D6:D13)</f>
        <v/>
      </c>
      <c r="E14" s="109">
        <f>SUM(E6:E13)</f>
        <v/>
      </c>
      <c r="F14" s="214">
        <f>E14/D14</f>
        <v/>
      </c>
      <c r="G14" s="155">
        <f>SUM(G6:G13)</f>
        <v/>
      </c>
      <c r="H14" s="155">
        <f>SUM(H6:H13)</f>
        <v/>
      </c>
      <c r="I14" s="155">
        <f>SUM(I6:I13)</f>
        <v/>
      </c>
      <c r="J14" s="214">
        <f>G14/H14</f>
        <v/>
      </c>
    </row>
    <row r="15" ht="15.75" customHeight="1" s="137">
      <c r="B15" s="112" t="inlineStr">
        <is>
          <t>Casa Luker</t>
        </is>
      </c>
      <c r="C15" s="97">
        <f>IF(ISNUMBER(VALUE(LEFT(Datos!B20,4))),MID(Datos!B20,6,100),Datos!B20)</f>
        <v/>
      </c>
      <c r="D15" s="98">
        <f>Datos!C20</f>
        <v/>
      </c>
      <c r="E15" s="99">
        <f>Datos!D20</f>
        <v/>
      </c>
      <c r="F15" s="212">
        <f>Datos!E20</f>
        <v/>
      </c>
      <c r="G15" s="101">
        <f>Datos!G20</f>
        <v/>
      </c>
      <c r="H15" s="101">
        <f>Datos!F20</f>
        <v/>
      </c>
      <c r="I15" s="101">
        <f>Datos!I20</f>
        <v/>
      </c>
      <c r="J15" s="212">
        <f>Datos!H20</f>
        <v/>
      </c>
    </row>
    <row r="16" ht="15.75" customHeight="1" s="137">
      <c r="B16" s="112" t="inlineStr">
        <is>
          <t>Casa Luker</t>
        </is>
      </c>
      <c r="C16" s="102">
        <f>IF(ISNUMBER(VALUE(LEFT(Datos!B21,4))),MID(Datos!B21,6,100),Datos!B21)</f>
        <v/>
      </c>
      <c r="D16" s="103">
        <f>Datos!C21</f>
        <v/>
      </c>
      <c r="E16" s="104">
        <f>Datos!D21</f>
        <v/>
      </c>
      <c r="F16" s="213">
        <f>Datos!E21</f>
        <v/>
      </c>
      <c r="G16" s="106">
        <f>Datos!G21</f>
        <v/>
      </c>
      <c r="H16" s="106">
        <f>Datos!F21</f>
        <v/>
      </c>
      <c r="I16" s="106">
        <f>Datos!I21</f>
        <v/>
      </c>
      <c r="J16" s="213">
        <f>Datos!H21</f>
        <v/>
      </c>
    </row>
    <row r="17" ht="15.75" customHeight="1" s="137">
      <c r="B17" s="112" t="inlineStr">
        <is>
          <t>Casa Luker</t>
        </is>
      </c>
      <c r="C17" s="97">
        <f>IF(ISNUMBER(VALUE(LEFT(Datos!B22,4))),MID(Datos!B22,6,100),Datos!B22)</f>
        <v/>
      </c>
      <c r="D17" s="98">
        <f>Datos!C22</f>
        <v/>
      </c>
      <c r="E17" s="99">
        <f>Datos!D22</f>
        <v/>
      </c>
      <c r="F17" s="212">
        <f>Datos!E22</f>
        <v/>
      </c>
      <c r="G17" s="101">
        <f>Datos!G22</f>
        <v/>
      </c>
      <c r="H17" s="101">
        <f>Datos!F22</f>
        <v/>
      </c>
      <c r="I17" s="101">
        <f>Datos!I22</f>
        <v/>
      </c>
      <c r="J17" s="212">
        <f>Datos!H22</f>
        <v/>
      </c>
    </row>
    <row r="18" ht="15.75" customHeight="1" s="137">
      <c r="B18" s="112" t="inlineStr">
        <is>
          <t>Casa Luker</t>
        </is>
      </c>
      <c r="C18" s="102">
        <f>IF(ISNUMBER(VALUE(LEFT(Datos!B23,4))),MID(Datos!B23,6,100),Datos!B23)</f>
        <v/>
      </c>
      <c r="D18" s="103">
        <f>Datos!C23</f>
        <v/>
      </c>
      <c r="E18" s="104">
        <f>Datos!D23</f>
        <v/>
      </c>
      <c r="F18" s="213">
        <f>Datos!E23</f>
        <v/>
      </c>
      <c r="G18" s="106">
        <f>Datos!G23</f>
        <v/>
      </c>
      <c r="H18" s="106">
        <f>Datos!F23</f>
        <v/>
      </c>
      <c r="I18" s="106">
        <f>Datos!I23</f>
        <v/>
      </c>
      <c r="J18" s="213">
        <f>Datos!H23</f>
        <v/>
      </c>
    </row>
    <row r="19" ht="15.75" customHeight="1" s="137">
      <c r="B19" s="112" t="inlineStr">
        <is>
          <t>Casa Luker</t>
        </is>
      </c>
      <c r="C19" s="97">
        <f>IF(ISNUMBER(VALUE(LEFT(Datos!B24,4))),MID(Datos!B24,6,100),Datos!B24)</f>
        <v/>
      </c>
      <c r="D19" s="98">
        <f>Datos!C24</f>
        <v/>
      </c>
      <c r="E19" s="99">
        <f>Datos!D24</f>
        <v/>
      </c>
      <c r="F19" s="212">
        <f>Datos!E24</f>
        <v/>
      </c>
      <c r="G19" s="101">
        <f>Datos!G24</f>
        <v/>
      </c>
      <c r="H19" s="101">
        <f>Datos!F24</f>
        <v/>
      </c>
      <c r="I19" s="101">
        <f>Datos!I24</f>
        <v/>
      </c>
      <c r="J19" s="212">
        <f>Datos!H24</f>
        <v/>
      </c>
    </row>
    <row r="20" ht="15.75" customHeight="1" s="137">
      <c r="B20" s="112" t="inlineStr">
        <is>
          <t>Casa Luker</t>
        </is>
      </c>
      <c r="C20" s="102">
        <f>IF(ISNUMBER(VALUE(LEFT(Datos!B25,4))),MID(Datos!B25,6,100),Datos!B25)</f>
        <v/>
      </c>
      <c r="D20" s="103">
        <f>Datos!C25</f>
        <v/>
      </c>
      <c r="E20" s="104">
        <f>Datos!D25</f>
        <v/>
      </c>
      <c r="F20" s="213">
        <f>Datos!E25</f>
        <v/>
      </c>
      <c r="G20" s="106">
        <f>Datos!G25</f>
        <v/>
      </c>
      <c r="H20" s="106">
        <f>Datos!F25</f>
        <v/>
      </c>
      <c r="I20" s="106">
        <f>Datos!I25</f>
        <v/>
      </c>
      <c r="J20" s="213">
        <f>Datos!H25</f>
        <v/>
      </c>
    </row>
    <row r="21" ht="15.75" customHeight="1" s="137">
      <c r="B21" s="112" t="inlineStr">
        <is>
          <t>Casa Luker</t>
        </is>
      </c>
      <c r="C21" s="97">
        <f>IF(ISNUMBER(VALUE(LEFT(Datos!B26,4))),MID(Datos!B26,6,100),Datos!B26)</f>
        <v/>
      </c>
      <c r="D21" s="98">
        <f>Datos!C26</f>
        <v/>
      </c>
      <c r="E21" s="99">
        <f>Datos!D26</f>
        <v/>
      </c>
      <c r="F21" s="212">
        <f>Datos!E26</f>
        <v/>
      </c>
      <c r="G21" s="101">
        <f>Datos!G26</f>
        <v/>
      </c>
      <c r="H21" s="101">
        <f>Datos!F26</f>
        <v/>
      </c>
      <c r="I21" s="101">
        <f>Datos!I26</f>
        <v/>
      </c>
      <c r="J21" s="212">
        <f>Datos!H26</f>
        <v/>
      </c>
    </row>
    <row r="22" ht="15.75" customHeight="1" s="137">
      <c r="B22" s="112" t="inlineStr">
        <is>
          <t>Casa Luker</t>
        </is>
      </c>
      <c r="C22" s="102">
        <f>IF(ISNUMBER(VALUE(LEFT(Datos!B27,4))),MID(Datos!B27,6,100),Datos!B27)</f>
        <v/>
      </c>
      <c r="D22" s="103">
        <f>Datos!C27</f>
        <v/>
      </c>
      <c r="E22" s="104">
        <f>Datos!D27</f>
        <v/>
      </c>
      <c r="F22" s="213">
        <f>Datos!E27</f>
        <v/>
      </c>
      <c r="G22" s="106">
        <f>Datos!G27</f>
        <v/>
      </c>
      <c r="H22" s="106">
        <f>Datos!F27</f>
        <v/>
      </c>
      <c r="I22" s="106">
        <f>Datos!I27</f>
        <v/>
      </c>
      <c r="J22" s="213">
        <f>Datos!H27</f>
        <v/>
      </c>
    </row>
    <row r="23" ht="16.05" customHeight="1" s="137">
      <c r="B23" s="107" t="inlineStr">
        <is>
          <t>TOTAL CASA LUKER</t>
        </is>
      </c>
      <c r="C23" s="128" t="n"/>
      <c r="D23" s="108">
        <f>SUM(D15:D22)</f>
        <v/>
      </c>
      <c r="E23" s="109">
        <f>SUM(E15:E22)</f>
        <v/>
      </c>
      <c r="F23" s="214">
        <f>E23/D23</f>
        <v/>
      </c>
      <c r="G23" s="155">
        <f>SUM(G15:G22)</f>
        <v/>
      </c>
      <c r="H23" s="155">
        <f>SUM(H15:H22)</f>
        <v/>
      </c>
      <c r="I23" s="155">
        <f>SUM(I15:I22)</f>
        <v/>
      </c>
      <c r="J23" s="214">
        <f>G23/H23</f>
        <v/>
      </c>
    </row>
    <row r="24" ht="15.75" customHeight="1" s="137">
      <c r="B24" s="113" t="inlineStr">
        <is>
          <t>Colombina</t>
        </is>
      </c>
      <c r="C24" s="97">
        <f>IF(ISNUMBER(VALUE(LEFT(Datos!B12,4))),MID(Datos!B12,6,100),Datos!B12)</f>
        <v/>
      </c>
      <c r="D24" s="98">
        <f>Datos!C12</f>
        <v/>
      </c>
      <c r="E24" s="99">
        <f>Datos!D12</f>
        <v/>
      </c>
      <c r="F24" s="212">
        <f>Datos!E12</f>
        <v/>
      </c>
      <c r="G24" s="101">
        <f>Datos!G12</f>
        <v/>
      </c>
      <c r="H24" s="101">
        <f>Datos!F12</f>
        <v/>
      </c>
      <c r="I24" s="101">
        <f>Datos!I12</f>
        <v/>
      </c>
      <c r="J24" s="212">
        <f>Datos!H12</f>
        <v/>
      </c>
    </row>
    <row r="25" ht="15.75" customHeight="1" s="137">
      <c r="B25" s="113" t="inlineStr">
        <is>
          <t>Colombina</t>
        </is>
      </c>
      <c r="C25" s="102">
        <f>IF(ISNUMBER(VALUE(LEFT(Datos!B13,4))),MID(Datos!B13,6,100),Datos!B13)</f>
        <v/>
      </c>
      <c r="D25" s="103">
        <f>Datos!C13</f>
        <v/>
      </c>
      <c r="E25" s="104">
        <f>Datos!D13</f>
        <v/>
      </c>
      <c r="F25" s="213">
        <f>Datos!E13</f>
        <v/>
      </c>
      <c r="G25" s="106">
        <f>Datos!G13</f>
        <v/>
      </c>
      <c r="H25" s="106">
        <f>Datos!F13</f>
        <v/>
      </c>
      <c r="I25" s="106">
        <f>Datos!I13</f>
        <v/>
      </c>
      <c r="J25" s="213">
        <f>Datos!H13</f>
        <v/>
      </c>
    </row>
    <row r="26" ht="15.75" customHeight="1" s="137">
      <c r="B26" s="113" t="inlineStr">
        <is>
          <t>Colombina</t>
        </is>
      </c>
      <c r="C26" s="97">
        <f>IF(ISNUMBER(VALUE(LEFT(Datos!B14,4))),MID(Datos!B14,6,100),Datos!B14)</f>
        <v/>
      </c>
      <c r="D26" s="98">
        <f>Datos!C14</f>
        <v/>
      </c>
      <c r="E26" s="99">
        <f>Datos!D14</f>
        <v/>
      </c>
      <c r="F26" s="212">
        <f>Datos!E14</f>
        <v/>
      </c>
      <c r="G26" s="101">
        <f>Datos!G14</f>
        <v/>
      </c>
      <c r="H26" s="101">
        <f>Datos!F14</f>
        <v/>
      </c>
      <c r="I26" s="101">
        <f>Datos!I14</f>
        <v/>
      </c>
      <c r="J26" s="212">
        <f>Datos!H14</f>
        <v/>
      </c>
    </row>
    <row r="27" ht="15.75" customHeight="1" s="137">
      <c r="B27" s="113" t="inlineStr">
        <is>
          <t>Colombina</t>
        </is>
      </c>
      <c r="C27" s="102">
        <f>IF(ISNUMBER(VALUE(LEFT(Datos!B15,4))),MID(Datos!B15,6,100),Datos!B15)</f>
        <v/>
      </c>
      <c r="D27" s="103">
        <f>Datos!C15</f>
        <v/>
      </c>
      <c r="E27" s="104">
        <f>Datos!D15</f>
        <v/>
      </c>
      <c r="F27" s="213">
        <f>Datos!E15</f>
        <v/>
      </c>
      <c r="G27" s="106">
        <f>Datos!G15</f>
        <v/>
      </c>
      <c r="H27" s="106">
        <f>Datos!F15</f>
        <v/>
      </c>
      <c r="I27" s="106">
        <f>Datos!I15</f>
        <v/>
      </c>
      <c r="J27" s="213">
        <f>Datos!H15</f>
        <v/>
      </c>
    </row>
    <row r="28" ht="15.75" customHeight="1" s="137">
      <c r="B28" s="113" t="inlineStr">
        <is>
          <t>Colombina</t>
        </is>
      </c>
      <c r="C28" s="97">
        <f>IF(ISNUMBER(VALUE(LEFT(Datos!B16,4))),MID(Datos!B16,6,100),Datos!B16)</f>
        <v/>
      </c>
      <c r="D28" s="98">
        <f>Datos!C16</f>
        <v/>
      </c>
      <c r="E28" s="99">
        <f>Datos!D16</f>
        <v/>
      </c>
      <c r="F28" s="212">
        <f>Datos!E16</f>
        <v/>
      </c>
      <c r="G28" s="101">
        <f>Datos!G16</f>
        <v/>
      </c>
      <c r="H28" s="101">
        <f>Datos!F16</f>
        <v/>
      </c>
      <c r="I28" s="101">
        <f>Datos!I16</f>
        <v/>
      </c>
      <c r="J28" s="212">
        <f>Datos!H16</f>
        <v/>
      </c>
    </row>
    <row r="29" ht="15.75" customHeight="1" s="137">
      <c r="B29" s="113" t="inlineStr">
        <is>
          <t>Colombina</t>
        </is>
      </c>
      <c r="C29" s="102">
        <f>IF(ISNUMBER(VALUE(LEFT(Datos!B17,4))),MID(Datos!B17,6,100),Datos!B17)</f>
        <v/>
      </c>
      <c r="D29" s="103">
        <f>Datos!C17</f>
        <v/>
      </c>
      <c r="E29" s="104">
        <f>Datos!D17</f>
        <v/>
      </c>
      <c r="F29" s="213">
        <f>Datos!E17</f>
        <v/>
      </c>
      <c r="G29" s="106">
        <f>Datos!G17</f>
        <v/>
      </c>
      <c r="H29" s="106">
        <f>Datos!F17</f>
        <v/>
      </c>
      <c r="I29" s="106">
        <f>Datos!I17</f>
        <v/>
      </c>
      <c r="J29" s="213">
        <f>Datos!H17</f>
        <v/>
      </c>
    </row>
    <row r="30" ht="15.75" customHeight="1" s="137">
      <c r="B30" s="113" t="inlineStr">
        <is>
          <t>Colombina</t>
        </is>
      </c>
      <c r="C30" s="97">
        <f>IF(ISNUMBER(VALUE(LEFT(Datos!B18,4))),MID(Datos!B18,6,100),Datos!B18)</f>
        <v/>
      </c>
      <c r="D30" s="98">
        <f>Datos!C18</f>
        <v/>
      </c>
      <c r="E30" s="99">
        <f>Datos!D18</f>
        <v/>
      </c>
      <c r="F30" s="212">
        <f>Datos!E18</f>
        <v/>
      </c>
      <c r="G30" s="101">
        <f>Datos!G18</f>
        <v/>
      </c>
      <c r="H30" s="101">
        <f>Datos!F18</f>
        <v/>
      </c>
      <c r="I30" s="101">
        <f>Datos!I18</f>
        <v/>
      </c>
      <c r="J30" s="212">
        <f>Datos!H18</f>
        <v/>
      </c>
    </row>
    <row r="31" ht="15.75" customHeight="1" s="137">
      <c r="B31" s="113" t="inlineStr">
        <is>
          <t>Colombina</t>
        </is>
      </c>
      <c r="C31" s="102">
        <f>IF(ISNUMBER(VALUE(LEFT(Datos!B19,4))),MID(Datos!B19,6,100),Datos!B19)</f>
        <v/>
      </c>
      <c r="D31" s="103">
        <f>Datos!C19</f>
        <v/>
      </c>
      <c r="E31" s="104">
        <f>Datos!D19</f>
        <v/>
      </c>
      <c r="F31" s="213">
        <f>Datos!E19</f>
        <v/>
      </c>
      <c r="G31" s="106">
        <f>Datos!G19</f>
        <v/>
      </c>
      <c r="H31" s="106">
        <f>Datos!F19</f>
        <v/>
      </c>
      <c r="I31" s="106">
        <f>Datos!I19</f>
        <v/>
      </c>
      <c r="J31" s="213">
        <f>Datos!H19</f>
        <v/>
      </c>
    </row>
    <row r="32" ht="16.05" customHeight="1" s="137">
      <c r="B32" s="107" t="inlineStr">
        <is>
          <t>TOTAL COLOMBINA</t>
        </is>
      </c>
      <c r="C32" s="128" t="n"/>
      <c r="D32" s="108">
        <f>SUM(D24:D31)</f>
        <v/>
      </c>
      <c r="E32" s="109">
        <f>SUM(E24:E31)</f>
        <v/>
      </c>
      <c r="F32" s="214">
        <f>E32/D32</f>
        <v/>
      </c>
      <c r="G32" s="155">
        <f>SUM(G24:G31)</f>
        <v/>
      </c>
      <c r="H32" s="155">
        <f>SUM(H24:H31)</f>
        <v/>
      </c>
      <c r="I32" s="155">
        <f>SUM(I24:I31)</f>
        <v/>
      </c>
      <c r="J32" s="214">
        <f>G32/H32</f>
        <v/>
      </c>
    </row>
    <row r="33" ht="15.75" customHeight="1" s="137">
      <c r="B33" s="114" t="inlineStr">
        <is>
          <t>Tecnoquimicas</t>
        </is>
      </c>
      <c r="C33" s="97">
        <f>IF(ISNUMBER(VALUE(LEFT(Datos!B28,4))),MID(Datos!B28,6,100),Datos!B28)</f>
        <v/>
      </c>
      <c r="D33" s="98">
        <f>Datos!C28</f>
        <v/>
      </c>
      <c r="E33" s="99">
        <f>Datos!D28</f>
        <v/>
      </c>
      <c r="F33" s="212">
        <f>Datos!E28</f>
        <v/>
      </c>
      <c r="G33" s="101">
        <f>Datos!G28</f>
        <v/>
      </c>
      <c r="H33" s="101">
        <f>Datos!F28</f>
        <v/>
      </c>
      <c r="I33" s="101">
        <f>Datos!I28</f>
        <v/>
      </c>
      <c r="J33" s="212">
        <f>Datos!H28</f>
        <v/>
      </c>
    </row>
    <row r="34" ht="15.75" customHeight="1" s="137">
      <c r="B34" s="114" t="inlineStr">
        <is>
          <t>Tecnoquimicas</t>
        </is>
      </c>
      <c r="C34" s="102">
        <f>IF(ISNUMBER(VALUE(LEFT(Datos!B29,4))),MID(Datos!B29,6,100),Datos!B29)</f>
        <v/>
      </c>
      <c r="D34" s="103">
        <f>Datos!C29</f>
        <v/>
      </c>
      <c r="E34" s="104">
        <f>Datos!D29</f>
        <v/>
      </c>
      <c r="F34" s="213">
        <f>Datos!E29</f>
        <v/>
      </c>
      <c r="G34" s="106">
        <f>Datos!G29</f>
        <v/>
      </c>
      <c r="H34" s="106">
        <f>Datos!F29</f>
        <v/>
      </c>
      <c r="I34" s="106">
        <f>Datos!I29</f>
        <v/>
      </c>
      <c r="J34" s="213">
        <f>Datos!H29</f>
        <v/>
      </c>
    </row>
    <row r="35" ht="15.75" customHeight="1" s="137">
      <c r="B35" s="114" t="inlineStr">
        <is>
          <t>Tecnoquimicas</t>
        </is>
      </c>
      <c r="C35" s="97">
        <f>IF(ISNUMBER(VALUE(LEFT(Datos!B30,4))),MID(Datos!B30,6,100),Datos!B30)</f>
        <v/>
      </c>
      <c r="D35" s="98">
        <f>Datos!C30</f>
        <v/>
      </c>
      <c r="E35" s="99">
        <f>Datos!D30</f>
        <v/>
      </c>
      <c r="F35" s="212">
        <f>Datos!E30</f>
        <v/>
      </c>
      <c r="G35" s="101">
        <f>Datos!G30</f>
        <v/>
      </c>
      <c r="H35" s="101">
        <f>Datos!F30</f>
        <v/>
      </c>
      <c r="I35" s="101">
        <f>Datos!I30</f>
        <v/>
      </c>
      <c r="J35" s="212">
        <f>Datos!H30</f>
        <v/>
      </c>
    </row>
    <row r="36" ht="15.75" customHeight="1" s="137">
      <c r="B36" s="114" t="inlineStr">
        <is>
          <t>Tecnoquimicas</t>
        </is>
      </c>
      <c r="C36" s="102">
        <f>IF(ISNUMBER(VALUE(LEFT(Datos!B31,4))),MID(Datos!B31,6,100),Datos!B31)</f>
        <v/>
      </c>
      <c r="D36" s="103">
        <f>Datos!C31</f>
        <v/>
      </c>
      <c r="E36" s="104">
        <f>Datos!D31</f>
        <v/>
      </c>
      <c r="F36" s="213">
        <f>Datos!E31</f>
        <v/>
      </c>
      <c r="G36" s="106">
        <f>Datos!G31</f>
        <v/>
      </c>
      <c r="H36" s="106">
        <f>Datos!F31</f>
        <v/>
      </c>
      <c r="I36" s="106">
        <f>Datos!I31</f>
        <v/>
      </c>
      <c r="J36" s="213">
        <f>Datos!H31</f>
        <v/>
      </c>
    </row>
    <row r="37" ht="15.75" customHeight="1" s="137">
      <c r="B37" s="114" t="inlineStr">
        <is>
          <t>Tecnoquimicas</t>
        </is>
      </c>
      <c r="C37" s="97">
        <f>IF(ISNUMBER(VALUE(LEFT(Datos!B32,4))),MID(Datos!B32,6,100),Datos!B32)</f>
        <v/>
      </c>
      <c r="D37" s="98">
        <f>Datos!C32</f>
        <v/>
      </c>
      <c r="E37" s="99">
        <f>Datos!D32</f>
        <v/>
      </c>
      <c r="F37" s="212">
        <f>Datos!E32</f>
        <v/>
      </c>
      <c r="G37" s="101">
        <f>Datos!G32</f>
        <v/>
      </c>
      <c r="H37" s="101">
        <f>Datos!F32</f>
        <v/>
      </c>
      <c r="I37" s="101">
        <f>Datos!I32</f>
        <v/>
      </c>
      <c r="J37" s="212">
        <f>Datos!H32</f>
        <v/>
      </c>
    </row>
    <row r="38" ht="15.75" customHeight="1" s="137">
      <c r="B38" s="114" t="inlineStr">
        <is>
          <t>Tecnoquimicas</t>
        </is>
      </c>
      <c r="C38" s="102">
        <f>IF(ISNUMBER(VALUE(LEFT(Datos!B33,4))),MID(Datos!B33,6,100),Datos!B33)</f>
        <v/>
      </c>
      <c r="D38" s="103">
        <f>Datos!C33</f>
        <v/>
      </c>
      <c r="E38" s="104">
        <f>Datos!D33</f>
        <v/>
      </c>
      <c r="F38" s="213">
        <f>Datos!E33</f>
        <v/>
      </c>
      <c r="G38" s="106">
        <f>Datos!G33</f>
        <v/>
      </c>
      <c r="H38" s="106">
        <f>Datos!F33</f>
        <v/>
      </c>
      <c r="I38" s="106">
        <f>Datos!I33</f>
        <v/>
      </c>
      <c r="J38" s="213">
        <f>Datos!H33</f>
        <v/>
      </c>
    </row>
    <row r="39" ht="15.75" customHeight="1" s="137">
      <c r="B39" s="114" t="inlineStr">
        <is>
          <t>Tecnoquimicas</t>
        </is>
      </c>
      <c r="C39" s="97">
        <f>IF(ISNUMBER(VALUE(LEFT(Datos!B34,4))),MID(Datos!B34,6,100),Datos!B34)</f>
        <v/>
      </c>
      <c r="D39" s="98">
        <f>Datos!C34</f>
        <v/>
      </c>
      <c r="E39" s="99">
        <f>Datos!D34</f>
        <v/>
      </c>
      <c r="F39" s="212">
        <f>Datos!E34</f>
        <v/>
      </c>
      <c r="G39" s="101">
        <f>Datos!G34</f>
        <v/>
      </c>
      <c r="H39" s="101">
        <f>Datos!F34</f>
        <v/>
      </c>
      <c r="I39" s="101">
        <f>Datos!I34</f>
        <v/>
      </c>
      <c r="J39" s="212">
        <f>Datos!H34</f>
        <v/>
      </c>
    </row>
    <row r="40" ht="15.75" customHeight="1" s="137">
      <c r="B40" s="114" t="inlineStr">
        <is>
          <t>Tecnoquimicas</t>
        </is>
      </c>
      <c r="C40" s="102">
        <f>IF(ISNUMBER(VALUE(LEFT(Datos!B35,4))),MID(Datos!B35,6,100),Datos!B35)</f>
        <v/>
      </c>
      <c r="D40" s="103">
        <f>Datos!C35</f>
        <v/>
      </c>
      <c r="E40" s="104">
        <f>Datos!D35</f>
        <v/>
      </c>
      <c r="F40" s="213">
        <f>Datos!E35</f>
        <v/>
      </c>
      <c r="G40" s="106">
        <f>Datos!G35</f>
        <v/>
      </c>
      <c r="H40" s="106">
        <f>Datos!F35</f>
        <v/>
      </c>
      <c r="I40" s="106">
        <f>Datos!I35</f>
        <v/>
      </c>
      <c r="J40" s="213">
        <f>Datos!H35</f>
        <v/>
      </c>
    </row>
    <row r="41" ht="16.05" customHeight="1" s="137">
      <c r="B41" s="107" t="inlineStr">
        <is>
          <t>TOTAL TECNOQUIMICAS</t>
        </is>
      </c>
      <c r="C41" s="128" t="n"/>
      <c r="D41" s="108">
        <f>SUM(D33:D40)</f>
        <v/>
      </c>
      <c r="E41" s="109">
        <f>SUM(E33:E40)</f>
        <v/>
      </c>
      <c r="F41" s="214">
        <f>E41/D41</f>
        <v/>
      </c>
      <c r="G41" s="155">
        <f>SUM(G33:G40)</f>
        <v/>
      </c>
      <c r="H41" s="155">
        <f>SUM(H33:H40)</f>
        <v/>
      </c>
      <c r="I41" s="155">
        <f>SUM(I33:I40)</f>
        <v/>
      </c>
      <c r="J41" s="214">
        <f>G41/H41</f>
        <v/>
      </c>
    </row>
    <row r="42" ht="15.75" customHeight="1" s="137">
      <c r="B42" s="115" t="inlineStr">
        <is>
          <t>Clientes Especiales</t>
        </is>
      </c>
      <c r="C42" s="97">
        <f>IF(ISNUMBER(VALUE(LEFT(Datos!B36,4))),MID(Datos!B36,6,100),Datos!B36)</f>
        <v/>
      </c>
      <c r="D42" s="98">
        <f>Datos!C36</f>
        <v/>
      </c>
      <c r="E42" s="99">
        <f>Datos!D36</f>
        <v/>
      </c>
      <c r="F42" s="212">
        <f>Datos!E36</f>
        <v/>
      </c>
      <c r="G42" s="101">
        <f>Datos!G36</f>
        <v/>
      </c>
      <c r="H42" s="101">
        <f>Datos!F36</f>
        <v/>
      </c>
      <c r="I42" s="101">
        <f>Datos!I36</f>
        <v/>
      </c>
      <c r="J42" s="212">
        <f>Datos!H36</f>
        <v/>
      </c>
    </row>
    <row r="43" ht="16.05" customHeight="1" s="137">
      <c r="B43" s="107" t="inlineStr">
        <is>
          <t>TOTAL CLIENTES ESPECIALES</t>
        </is>
      </c>
      <c r="C43" s="128" t="n"/>
      <c r="D43" s="108">
        <f>SUM(D42:D42)</f>
        <v/>
      </c>
      <c r="E43" s="109">
        <f>SUM(E42:E42)</f>
        <v/>
      </c>
      <c r="F43" s="214">
        <f>E43/D43</f>
        <v/>
      </c>
      <c r="G43" s="155">
        <f>SUM(G42:G42)</f>
        <v/>
      </c>
      <c r="H43" s="155">
        <f>SUM(H42:H42)</f>
        <v/>
      </c>
      <c r="I43" s="155">
        <f>SUM(I42:I42)</f>
        <v/>
      </c>
      <c r="J43" s="214">
        <f>G43/H43</f>
        <v/>
      </c>
    </row>
    <row r="44" ht="15.75" customHeight="1" s="137">
      <c r="B44" s="116" t="inlineStr">
        <is>
          <t>Brinsa</t>
        </is>
      </c>
      <c r="C44" s="97">
        <f>IF(ISNUMBER(VALUE(LEFT(Datos!B37,4))),MID(Datos!B37,6,100),Datos!B37)</f>
        <v/>
      </c>
      <c r="D44" s="98">
        <f>Datos!C37</f>
        <v/>
      </c>
      <c r="E44" s="99">
        <f>Datos!D37</f>
        <v/>
      </c>
      <c r="F44" s="212">
        <f>Datos!E37</f>
        <v/>
      </c>
      <c r="G44" s="101">
        <f>Datos!G37</f>
        <v/>
      </c>
      <c r="H44" s="101">
        <f>Datos!F37</f>
        <v/>
      </c>
      <c r="I44" s="101">
        <f>Datos!I37</f>
        <v/>
      </c>
      <c r="J44" s="212">
        <f>Datos!H37</f>
        <v/>
      </c>
    </row>
    <row r="45" ht="15.75" customHeight="1" s="137">
      <c r="B45" s="116" t="inlineStr">
        <is>
          <t>Brinsa</t>
        </is>
      </c>
      <c r="C45" s="102">
        <f>IF(ISNUMBER(VALUE(LEFT(Datos!B38,4))),MID(Datos!B38,6,100),Datos!B38)</f>
        <v/>
      </c>
      <c r="D45" s="103">
        <f>Datos!C38</f>
        <v/>
      </c>
      <c r="E45" s="104">
        <f>Datos!D38</f>
        <v/>
      </c>
      <c r="F45" s="213">
        <f>Datos!E38</f>
        <v/>
      </c>
      <c r="G45" s="106">
        <f>Datos!G38</f>
        <v/>
      </c>
      <c r="H45" s="106">
        <f>Datos!F38</f>
        <v/>
      </c>
      <c r="I45" s="106">
        <f>Datos!I38</f>
        <v/>
      </c>
      <c r="J45" s="213">
        <f>Datos!H38</f>
        <v/>
      </c>
    </row>
    <row r="46" ht="15.75" customHeight="1" s="137">
      <c r="B46" s="116" t="inlineStr">
        <is>
          <t>Brinsa</t>
        </is>
      </c>
      <c r="C46" s="97">
        <f>IF(ISNUMBER(VALUE(LEFT(Datos!B39,4))),MID(Datos!B39,6,100),Datos!B39)</f>
        <v/>
      </c>
      <c r="D46" s="98">
        <f>Datos!C39</f>
        <v/>
      </c>
      <c r="E46" s="99">
        <f>Datos!D39</f>
        <v/>
      </c>
      <c r="F46" s="212">
        <f>Datos!E39</f>
        <v/>
      </c>
      <c r="G46" s="101">
        <f>Datos!G39</f>
        <v/>
      </c>
      <c r="H46" s="101">
        <f>Datos!F39</f>
        <v/>
      </c>
      <c r="I46" s="101">
        <f>Datos!I39</f>
        <v/>
      </c>
      <c r="J46" s="212">
        <f>Datos!H39</f>
        <v/>
      </c>
    </row>
    <row r="47" ht="15.75" customHeight="1" s="137">
      <c r="B47" s="116" t="inlineStr">
        <is>
          <t>Brinsa</t>
        </is>
      </c>
      <c r="C47" s="102">
        <f>IF(ISNUMBER(VALUE(LEFT(Datos!B40,4))),MID(Datos!B40,6,100),Datos!B40)</f>
        <v/>
      </c>
      <c r="D47" s="103">
        <f>Datos!C40</f>
        <v/>
      </c>
      <c r="E47" s="104">
        <f>Datos!D40</f>
        <v/>
      </c>
      <c r="F47" s="213">
        <f>Datos!E40</f>
        <v/>
      </c>
      <c r="G47" s="106">
        <f>Datos!G40</f>
        <v/>
      </c>
      <c r="H47" s="106">
        <f>Datos!F40</f>
        <v/>
      </c>
      <c r="I47" s="106">
        <f>Datos!I40</f>
        <v/>
      </c>
      <c r="J47" s="213">
        <f>Datos!H40</f>
        <v/>
      </c>
    </row>
    <row r="48" ht="15.75" customHeight="1" s="137">
      <c r="B48" s="116" t="inlineStr">
        <is>
          <t>Brinsa</t>
        </is>
      </c>
      <c r="C48" s="97">
        <f>IF(ISNUMBER(VALUE(LEFT(Datos!B41,4))),MID(Datos!B41,6,100),Datos!B41)</f>
        <v/>
      </c>
      <c r="D48" s="98">
        <f>Datos!C41</f>
        <v/>
      </c>
      <c r="E48" s="99">
        <f>Datos!D41</f>
        <v/>
      </c>
      <c r="F48" s="212">
        <f>Datos!E41</f>
        <v/>
      </c>
      <c r="G48" s="101">
        <f>Datos!G41</f>
        <v/>
      </c>
      <c r="H48" s="101">
        <f>Datos!F41</f>
        <v/>
      </c>
      <c r="I48" s="101">
        <f>Datos!I41</f>
        <v/>
      </c>
      <c r="J48" s="212">
        <f>Datos!H41</f>
        <v/>
      </c>
    </row>
    <row r="49" ht="15.75" customHeight="1" s="137">
      <c r="B49" s="116" t="inlineStr">
        <is>
          <t>Brinsa</t>
        </is>
      </c>
      <c r="C49" s="102">
        <f>IF(ISNUMBER(VALUE(LEFT(Datos!B42,4))),MID(Datos!B42,6,100),Datos!B42)</f>
        <v/>
      </c>
      <c r="D49" s="103">
        <f>Datos!C42</f>
        <v/>
      </c>
      <c r="E49" s="104">
        <f>Datos!D42</f>
        <v/>
      </c>
      <c r="F49" s="213">
        <f>Datos!E42</f>
        <v/>
      </c>
      <c r="G49" s="106">
        <f>Datos!G42</f>
        <v/>
      </c>
      <c r="H49" s="106">
        <f>Datos!F42</f>
        <v/>
      </c>
      <c r="I49" s="106">
        <f>Datos!I42</f>
        <v/>
      </c>
      <c r="J49" s="213">
        <f>Datos!H42</f>
        <v/>
      </c>
    </row>
    <row r="50" ht="15.75" customHeight="1" s="137">
      <c r="B50" s="116" t="inlineStr">
        <is>
          <t>Brinsa</t>
        </is>
      </c>
      <c r="C50" s="97">
        <f>IF(ISNUMBER(VALUE(LEFT(Datos!B43,4))),MID(Datos!B43,6,100),Datos!B43)</f>
        <v/>
      </c>
      <c r="D50" s="98">
        <f>Datos!C43</f>
        <v/>
      </c>
      <c r="E50" s="99">
        <f>Datos!D43</f>
        <v/>
      </c>
      <c r="F50" s="212">
        <f>Datos!E43</f>
        <v/>
      </c>
      <c r="G50" s="101">
        <f>Datos!G43</f>
        <v/>
      </c>
      <c r="H50" s="101">
        <f>Datos!F43</f>
        <v/>
      </c>
      <c r="I50" s="101">
        <f>Datos!I43</f>
        <v/>
      </c>
      <c r="J50" s="212">
        <f>Datos!H43</f>
        <v/>
      </c>
    </row>
    <row r="51" ht="15.75" customHeight="1" s="137">
      <c r="B51" s="116" t="inlineStr">
        <is>
          <t>Brinsa</t>
        </is>
      </c>
      <c r="C51" s="102">
        <f>IF(ISNUMBER(VALUE(LEFT(Datos!B44,4))),MID(Datos!B44,6,100),Datos!B44)</f>
        <v/>
      </c>
      <c r="D51" s="103">
        <f>Datos!C44</f>
        <v/>
      </c>
      <c r="E51" s="104">
        <f>Datos!D44</f>
        <v/>
      </c>
      <c r="F51" s="213">
        <f>Datos!E44</f>
        <v/>
      </c>
      <c r="G51" s="106">
        <f>Datos!G44</f>
        <v/>
      </c>
      <c r="H51" s="106">
        <f>Datos!F44</f>
        <v/>
      </c>
      <c r="I51" s="106">
        <f>Datos!I44</f>
        <v/>
      </c>
      <c r="J51" s="213">
        <f>Datos!H44</f>
        <v/>
      </c>
    </row>
    <row r="52" ht="16.05" customHeight="1" s="137">
      <c r="B52" s="107" t="inlineStr">
        <is>
          <t>TOTAL BRINSA</t>
        </is>
      </c>
      <c r="C52" s="128" t="n"/>
      <c r="D52" s="108">
        <f>SUM(D44:D51)</f>
        <v/>
      </c>
      <c r="E52" s="109">
        <f>SUM(E44:E51)</f>
        <v/>
      </c>
      <c r="F52" s="214">
        <f>E52/D52</f>
        <v/>
      </c>
      <c r="G52" s="155">
        <f>SUM(G44:G51)</f>
        <v/>
      </c>
      <c r="H52" s="155">
        <f>SUM(H44:H51)</f>
        <v/>
      </c>
      <c r="I52" s="155">
        <f>SUM(I44:I51)</f>
        <v/>
      </c>
      <c r="J52" s="214">
        <f>G52/H52</f>
        <v/>
      </c>
    </row>
    <row r="53" ht="15.75" customHeight="1" s="137">
      <c r="B53" s="117" t="inlineStr">
        <is>
          <t>Colombina Helados</t>
        </is>
      </c>
      <c r="C53" s="97">
        <f>IF(ISNUMBER(VALUE(LEFT(Datos!B2,4))),MID(Datos!B2,6,100),Datos!B2)</f>
        <v/>
      </c>
      <c r="D53" s="98">
        <f>Datos!C2</f>
        <v/>
      </c>
      <c r="E53" s="99">
        <f>Datos!D2</f>
        <v/>
      </c>
      <c r="F53" s="212">
        <f>Datos!E2</f>
        <v/>
      </c>
      <c r="G53" s="101">
        <f>Datos!G2</f>
        <v/>
      </c>
      <c r="H53" s="101">
        <f>Datos!F2</f>
        <v/>
      </c>
      <c r="I53" s="101">
        <f>Datos!I2</f>
        <v/>
      </c>
      <c r="J53" s="212">
        <f>Datos!H2</f>
        <v/>
      </c>
    </row>
    <row r="54" ht="15.75" customHeight="1" s="137">
      <c r="B54" s="117" t="inlineStr">
        <is>
          <t>Colombina Helados</t>
        </is>
      </c>
      <c r="C54" s="102">
        <f>IF(ISNUMBER(VALUE(LEFT(Datos!B3,4))),MID(Datos!B3,6,100),Datos!B3)</f>
        <v/>
      </c>
      <c r="D54" s="103">
        <f>Datos!C3</f>
        <v/>
      </c>
      <c r="E54" s="104">
        <f>Datos!D3</f>
        <v/>
      </c>
      <c r="F54" s="213">
        <f>Datos!E3</f>
        <v/>
      </c>
      <c r="G54" s="106">
        <f>Datos!G3</f>
        <v/>
      </c>
      <c r="H54" s="106">
        <f>Datos!F3</f>
        <v/>
      </c>
      <c r="I54" s="106">
        <f>Datos!I3</f>
        <v/>
      </c>
      <c r="J54" s="213">
        <f>Datos!H3</f>
        <v/>
      </c>
    </row>
    <row r="55" ht="16.05" customHeight="1" s="137">
      <c r="B55" s="107" t="inlineStr">
        <is>
          <t>TOTAL COLOMBINA HELADOS</t>
        </is>
      </c>
      <c r="C55" s="128" t="n"/>
      <c r="D55" s="108">
        <f>SUM(D53:D54)</f>
        <v/>
      </c>
      <c r="E55" s="109">
        <f>SUM(E53:E54)</f>
        <v/>
      </c>
      <c r="F55" s="214">
        <f>E55/D55</f>
        <v/>
      </c>
      <c r="G55" s="155">
        <f>SUM(G53:G54)</f>
        <v/>
      </c>
      <c r="H55" s="155">
        <f>SUM(H53:H54)</f>
        <v/>
      </c>
      <c r="I55" s="155">
        <f>SUM(I53:I54)</f>
        <v/>
      </c>
      <c r="J55" s="214">
        <f>G55/H55</f>
        <v/>
      </c>
    </row>
    <row r="56" ht="15.75" customHeight="1" s="137">
      <c r="B56" s="118" t="inlineStr">
        <is>
          <t>Alimentos Polar</t>
        </is>
      </c>
      <c r="C56" s="97">
        <f>IF(ISNUMBER(VALUE(LEFT(Datos!B45,4))),MID(Datos!B45,6,100),Datos!B45)</f>
        <v/>
      </c>
      <c r="D56" s="98">
        <f>Datos!C45</f>
        <v/>
      </c>
      <c r="E56" s="99">
        <f>Datos!D45</f>
        <v/>
      </c>
      <c r="F56" s="212">
        <f>Datos!E45</f>
        <v/>
      </c>
      <c r="G56" s="101">
        <f>Datos!G45</f>
        <v/>
      </c>
      <c r="H56" s="101">
        <f>Datos!F45</f>
        <v/>
      </c>
      <c r="I56" s="101">
        <f>Datos!I45</f>
        <v/>
      </c>
      <c r="J56" s="212">
        <f>Datos!H45</f>
        <v/>
      </c>
    </row>
    <row r="57" ht="15.75" customHeight="1" s="137">
      <c r="B57" s="118" t="inlineStr">
        <is>
          <t>Alimentos Polar</t>
        </is>
      </c>
      <c r="C57" s="102">
        <f>IF(ISNUMBER(VALUE(LEFT(Datos!B46,4))),MID(Datos!B46,6,100),Datos!B46)</f>
        <v/>
      </c>
      <c r="D57" s="103">
        <f>Datos!C46</f>
        <v/>
      </c>
      <c r="E57" s="104">
        <f>Datos!D46</f>
        <v/>
      </c>
      <c r="F57" s="213">
        <f>Datos!E46</f>
        <v/>
      </c>
      <c r="G57" s="106">
        <f>Datos!G46</f>
        <v/>
      </c>
      <c r="H57" s="106">
        <f>Datos!F46</f>
        <v/>
      </c>
      <c r="I57" s="106">
        <f>Datos!I46</f>
        <v/>
      </c>
      <c r="J57" s="213">
        <f>Datos!H46</f>
        <v/>
      </c>
    </row>
    <row r="58" ht="15.75" customHeight="1" s="137">
      <c r="B58" s="118" t="inlineStr">
        <is>
          <t>Alimentos Polar</t>
        </is>
      </c>
      <c r="C58" s="97">
        <f>IF(ISNUMBER(VALUE(LEFT(Datos!B47,4))),MID(Datos!B47,6,100),Datos!B47)</f>
        <v/>
      </c>
      <c r="D58" s="98">
        <f>Datos!C47</f>
        <v/>
      </c>
      <c r="E58" s="99">
        <f>Datos!D47</f>
        <v/>
      </c>
      <c r="F58" s="212">
        <f>Datos!E47</f>
        <v/>
      </c>
      <c r="G58" s="101">
        <f>Datos!G47</f>
        <v/>
      </c>
      <c r="H58" s="101">
        <f>Datos!F47</f>
        <v/>
      </c>
      <c r="I58" s="101">
        <f>Datos!I47</f>
        <v/>
      </c>
      <c r="J58" s="212">
        <f>Datos!H47</f>
        <v/>
      </c>
    </row>
    <row r="59" ht="15.75" customHeight="1" s="137">
      <c r="B59" s="118" t="inlineStr">
        <is>
          <t>Alimentos Polar</t>
        </is>
      </c>
      <c r="C59" s="102">
        <f>IF(ISNUMBER(VALUE(LEFT(Datos!B48,4))),MID(Datos!B48,6,100),Datos!B48)</f>
        <v/>
      </c>
      <c r="D59" s="103">
        <f>Datos!C48</f>
        <v/>
      </c>
      <c r="E59" s="104">
        <f>Datos!D48</f>
        <v/>
      </c>
      <c r="F59" s="213">
        <f>Datos!E48</f>
        <v/>
      </c>
      <c r="G59" s="106">
        <f>Datos!G48</f>
        <v/>
      </c>
      <c r="H59" s="106">
        <f>Datos!F48</f>
        <v/>
      </c>
      <c r="I59" s="106">
        <f>Datos!I48</f>
        <v/>
      </c>
      <c r="J59" s="213">
        <f>Datos!H48</f>
        <v/>
      </c>
    </row>
    <row r="60" ht="16.05" customHeight="1" s="137">
      <c r="B60" s="107" t="inlineStr">
        <is>
          <t>TOTAL ALIMENTOS POLAR</t>
        </is>
      </c>
      <c r="C60" s="128" t="n"/>
      <c r="D60" s="108">
        <f>SUM(D56:D59)</f>
        <v/>
      </c>
      <c r="E60" s="109">
        <f>SUM(E56:E59)</f>
        <v/>
      </c>
      <c r="F60" s="214">
        <f>E60/D60</f>
        <v/>
      </c>
      <c r="G60" s="155">
        <f>SUM(G56:G59)</f>
        <v/>
      </c>
      <c r="H60" s="155">
        <f>SUM(H56:H59)</f>
        <v/>
      </c>
      <c r="I60" s="155">
        <f>SUM(I56:I59)</f>
        <v/>
      </c>
      <c r="J60" s="214">
        <f>G60/H60</f>
        <v/>
      </c>
    </row>
    <row r="61" ht="19.5" customHeight="1" s="137">
      <c r="B61" s="91" t="inlineStr">
        <is>
          <t>TOTAL GENERAL</t>
        </is>
      </c>
      <c r="C61" s="128" t="n"/>
      <c r="D61" s="92">
        <f>Datos!C50</f>
        <v/>
      </c>
      <c r="E61" s="93">
        <f>Datos!D50</f>
        <v/>
      </c>
      <c r="F61" s="211">
        <f>E61/D61</f>
        <v/>
      </c>
      <c r="G61" s="145">
        <f>Datos!G50</f>
        <v/>
      </c>
      <c r="H61" s="145">
        <f>Datos!F50</f>
        <v/>
      </c>
      <c r="I61" s="129">
        <f>I14+I23+I32+I41+I43+I52+I55+I60</f>
        <v/>
      </c>
      <c r="J61" s="130">
        <f>G61/H61</f>
        <v/>
      </c>
    </row>
  </sheetData>
  <mergeCells count="2">
    <mergeCell ref="B4:K4"/>
    <mergeCell ref="B1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B1" sqref="B1:I26"/>
    </sheetView>
  </sheetViews>
  <sheetFormatPr baseColWidth="10" defaultColWidth="8.88671875" defaultRowHeight="14.4"/>
  <cols>
    <col width="3" customWidth="1" style="137" min="1" max="1"/>
    <col width="30" customWidth="1" style="137" min="2" max="2"/>
    <col width="16" customWidth="1" style="137" min="3" max="4"/>
    <col width="15" customWidth="1" style="137" min="5" max="5"/>
    <col width="13" customWidth="1" style="137" min="6" max="6"/>
    <col width="12" customWidth="1" style="137" min="7" max="7"/>
    <col width="14" customWidth="1" style="137" min="8" max="8"/>
    <col width="13" customWidth="1" style="137" min="9" max="9"/>
    <col width="3" customWidth="1" style="137" min="10" max="10"/>
  </cols>
  <sheetData>
    <row r="1" ht="12" customHeight="1" s="137">
      <c r="B1" s="154" t="inlineStr">
        <is>
          <t>UNIDAD DE NEGOCIO — SANIN</t>
        </is>
      </c>
    </row>
    <row r="2" ht="21.75" customHeight="1" s="137"/>
    <row r="3" ht="12" customHeight="1" s="137"/>
    <row r="4" ht="18" customHeight="1" s="137">
      <c r="B4" s="152" t="inlineStr">
        <is>
          <t>Corte: MARZO 2025  |  Asesores: 8  |  Informe automático</t>
        </is>
      </c>
    </row>
    <row r="5" ht="7.5" customHeight="1" s="137"/>
    <row r="6" ht="18" customHeight="1" s="137">
      <c r="B6" s="159" t="inlineStr">
        <is>
          <t>VENTA DÍA</t>
        </is>
      </c>
      <c r="D6" s="155" t="inlineStr">
        <is>
          <t>PRESUPUESTO DÍA</t>
        </is>
      </c>
      <c r="F6" s="166" t="inlineStr">
        <is>
          <t>% CUMPL. PPTO</t>
        </is>
      </c>
      <c r="H6" s="169" t="inlineStr">
        <is>
          <t>% CUMPL. PLAN</t>
        </is>
      </c>
    </row>
    <row r="7" ht="18" customHeight="1" s="137">
      <c r="B7" s="165">
        <f>TEXT((Datos!D4+Datos!D5+Datos!D6+Datos!D7+Datos!D8+Datos!D9+Datos!D10+Datos!D11)/1000000,"$#,##0.00")&amp;"M"</f>
        <v/>
      </c>
      <c r="D7" s="157">
        <f>TEXT((Datos!C4+Datos!C5+Datos!C6+Datos!C7+Datos!C8+Datos!C9+Datos!C10+Datos!C11)/1000000,"$#,##0.00")&amp;"M"</f>
        <v/>
      </c>
      <c r="F7" s="167">
        <f>TEXT((Datos!D4+Datos!D5+Datos!D6+Datos!D7+Datos!D8+Datos!D9+Datos!D10+Datos!D11)/(Datos!C4+Datos!C5+Datos!C6+Datos!C7+Datos!C8+Datos!C9+Datos!C10+Datos!C11),"0.0%")</f>
        <v/>
      </c>
      <c r="H7" s="160">
        <f>TEXT((Datos!G4+Datos!G5+Datos!G6+Datos!G7+Datos!G8+Datos!G9+Datos!G10+Datos!G11)/(Datos!F4+Datos!F5+Datos!F6+Datos!F7+Datos!F8+Datos!F9+Datos!F10+Datos!F11),"0.0%")</f>
        <v/>
      </c>
    </row>
    <row r="8" ht="18" customHeight="1" s="137"/>
    <row r="9" ht="18" customHeight="1" s="137"/>
    <row r="10" ht="7.5" customHeight="1" s="137"/>
    <row r="11" ht="18" customHeight="1" s="137">
      <c r="B11" s="170" t="inlineStr">
        <is>
          <t>FACTURAS / OBJETIVO</t>
        </is>
      </c>
      <c r="D11" s="166" t="inlineStr">
        <is>
          <t>CUMPLEN META PLAN</t>
        </is>
      </c>
      <c r="F11" s="163" t="inlineStr">
        <is>
          <t>MEJOR ASESOR</t>
        </is>
      </c>
      <c r="H11" s="155" t="inlineStr">
        <is>
          <t>PEDIDOS FALTANTES</t>
        </is>
      </c>
    </row>
    <row r="12" ht="18" customHeight="1" s="137">
      <c r="B12" s="168">
        <f>TEXT(Datos!G4+Datos!G5+Datos!G6+Datos!G7+Datos!G8+Datos!G9+Datos!G10+Datos!G11,"0")&amp;" / "&amp;TEXT(Datos!F4+Datos!F5+Datos!F6+Datos!F7+Datos!F8+Datos!F9+Datos!F10+Datos!F11,"0")</f>
        <v/>
      </c>
      <c r="D12" s="161">
        <f>TEXT(COUNTIF(Datos!H4:H11,"&gt;="&amp;1),"0")&amp;" / "&amp;"8"</f>
        <v/>
      </c>
      <c r="F12" s="171">
        <f>IF(ISNUMBER(VALUE(LEFT(INDEX(Datos!B4:B11,MATCH(MAX(Datos!D4:D11),Datos!D4:D11,0)),4))),MID(INDEX(Datos!B4:B11,MATCH(MAX(Datos!D4:D11),Datos!D4:D11,0)),6,100),INDEX(Datos!B4:B11,MATCH(MAX(Datos!D4:D11),Datos!D4:D11,0)))</f>
        <v/>
      </c>
      <c r="H12" s="162">
        <f>TEXT(ABS(Datos!F4+Datos!F5+Datos!F6+Datos!F7+Datos!F8+Datos!F9+Datos!F10+Datos!F11-Datos!G4+Datos!G5+Datos!G6+Datos!G7+Datos!G8+Datos!G9+Datos!G10+Datos!G11),"0")&amp;IF(Datos!G4+Datos!G5+Datos!G6+Datos!G7+Datos!G8+Datos!G9+Datos!G10+Datos!G11&gt;=Datos!F4+Datos!F5+Datos!F6+Datos!F7+Datos!F8+Datos!F9+Datos!F10+Datos!F11," excedente"," pedidos")</f>
        <v/>
      </c>
    </row>
    <row r="13" ht="18" customHeight="1" s="137"/>
    <row r="14" ht="18" customHeight="1" s="137"/>
    <row r="15" ht="7.5" customHeight="1" s="137"/>
    <row r="16" ht="19.5" customHeight="1" s="137">
      <c r="B16" s="164" t="inlineStr">
        <is>
          <t>DETALLE DE ASESORES — SANIN</t>
        </is>
      </c>
    </row>
    <row r="17" ht="19.5" customHeight="1" s="137">
      <c r="B17" s="159" t="inlineStr">
        <is>
          <t>Asesor Comercial</t>
        </is>
      </c>
      <c r="C17" s="159" t="inlineStr">
        <is>
          <t>Ppto Día ($)</t>
        </is>
      </c>
      <c r="D17" s="159" t="inlineStr">
        <is>
          <t>Venta Día ($)</t>
        </is>
      </c>
      <c r="E17" s="159" t="inlineStr">
        <is>
          <t>% Cumpl. Ppto</t>
        </is>
      </c>
      <c r="F17" s="159" t="inlineStr">
        <is>
          <t># Facturas</t>
        </is>
      </c>
      <c r="G17" s="159" t="inlineStr">
        <is>
          <t>Obj. Plan</t>
        </is>
      </c>
      <c r="H17" s="159" t="inlineStr">
        <is>
          <t>Faltante</t>
        </is>
      </c>
      <c r="I17" s="159" t="inlineStr">
        <is>
          <t>Estado Plan</t>
        </is>
      </c>
    </row>
    <row r="18" ht="15.75" customHeight="1" s="137">
      <c r="B18" s="97">
        <f>IF(ISNUMBER(VALUE(LEFT(Datos!B4,4))),MID(Datos!B4,6,100),Datos!B4)</f>
        <v/>
      </c>
      <c r="C18" s="98">
        <f>Datos!C4</f>
        <v/>
      </c>
      <c r="D18" s="99">
        <f>Datos!D4</f>
        <v/>
      </c>
      <c r="E18" s="212">
        <f>Datos!E4</f>
        <v/>
      </c>
      <c r="F18" s="101">
        <f>Datos!G4</f>
        <v/>
      </c>
      <c r="G18" s="101">
        <f>Datos!F4</f>
        <v/>
      </c>
      <c r="H18" s="101">
        <f>Datos!I4</f>
        <v/>
      </c>
      <c r="I18" s="120">
        <f>IF(Datos!E4&gt;=0.9,"🟢 EXCELENTE",IF(Datos!E4&gt;=0.7,"🟡 EN CAMINO",IF(Datos!E4&gt;=0.5,"🟠 ALERTA","🔴 CRÍTICO")))</f>
        <v/>
      </c>
    </row>
    <row r="19" ht="15.75" customHeight="1" s="137">
      <c r="B19" s="102">
        <f>IF(ISNUMBER(VALUE(LEFT(Datos!B5,4))),MID(Datos!B5,6,100),Datos!B5)</f>
        <v/>
      </c>
      <c r="C19" s="103">
        <f>Datos!C5</f>
        <v/>
      </c>
      <c r="D19" s="104">
        <f>Datos!D5</f>
        <v/>
      </c>
      <c r="E19" s="213">
        <f>Datos!E5</f>
        <v/>
      </c>
      <c r="F19" s="106">
        <f>Datos!G5</f>
        <v/>
      </c>
      <c r="G19" s="106">
        <f>Datos!F5</f>
        <v/>
      </c>
      <c r="H19" s="106">
        <f>Datos!I5</f>
        <v/>
      </c>
      <c r="I19" s="121">
        <f>IF(Datos!E5&gt;=0.9,"🟢 EXCELENTE",IF(Datos!E5&gt;=0.7,"🟡 EN CAMINO",IF(Datos!E5&gt;=0.5,"🟠 ALERTA","🔴 CRÍTICO")))</f>
        <v/>
      </c>
    </row>
    <row r="20" ht="15.75" customHeight="1" s="137">
      <c r="B20" s="97">
        <f>IF(ISNUMBER(VALUE(LEFT(Datos!B6,4))),MID(Datos!B6,6,100),Datos!B6)</f>
        <v/>
      </c>
      <c r="C20" s="98">
        <f>Datos!C6</f>
        <v/>
      </c>
      <c r="D20" s="99">
        <f>Datos!D6</f>
        <v/>
      </c>
      <c r="E20" s="212">
        <f>Datos!E6</f>
        <v/>
      </c>
      <c r="F20" s="101">
        <f>Datos!G6</f>
        <v/>
      </c>
      <c r="G20" s="101">
        <f>Datos!F6</f>
        <v/>
      </c>
      <c r="H20" s="101">
        <f>Datos!I6</f>
        <v/>
      </c>
      <c r="I20" s="120">
        <f>IF(Datos!E6&gt;=0.9,"🟢 EXCELENTE",IF(Datos!E6&gt;=0.7,"🟡 EN CAMINO",IF(Datos!E6&gt;=0.5,"🟠 ALERTA","🔴 CRÍTICO")))</f>
        <v/>
      </c>
    </row>
    <row r="21" ht="15.75" customHeight="1" s="137">
      <c r="B21" s="102">
        <f>IF(ISNUMBER(VALUE(LEFT(Datos!B7,4))),MID(Datos!B7,6,100),Datos!B7)</f>
        <v/>
      </c>
      <c r="C21" s="103">
        <f>Datos!C7</f>
        <v/>
      </c>
      <c r="D21" s="104">
        <f>Datos!D7</f>
        <v/>
      </c>
      <c r="E21" s="213">
        <f>Datos!E7</f>
        <v/>
      </c>
      <c r="F21" s="106">
        <f>Datos!G7</f>
        <v/>
      </c>
      <c r="G21" s="106">
        <f>Datos!F7</f>
        <v/>
      </c>
      <c r="H21" s="106">
        <f>Datos!I7</f>
        <v/>
      </c>
      <c r="I21" s="121">
        <f>IF(Datos!E7&gt;=0.9,"🟢 EXCELENTE",IF(Datos!E7&gt;=0.7,"🟡 EN CAMINO",IF(Datos!E7&gt;=0.5,"🟠 ALERTA","🔴 CRÍTICO")))</f>
        <v/>
      </c>
    </row>
    <row r="22" ht="15.75" customHeight="1" s="137">
      <c r="B22" s="97">
        <f>IF(ISNUMBER(VALUE(LEFT(Datos!B8,4))),MID(Datos!B8,6,100),Datos!B8)</f>
        <v/>
      </c>
      <c r="C22" s="98">
        <f>Datos!C8</f>
        <v/>
      </c>
      <c r="D22" s="99">
        <f>Datos!D8</f>
        <v/>
      </c>
      <c r="E22" s="212">
        <f>Datos!E8</f>
        <v/>
      </c>
      <c r="F22" s="101">
        <f>Datos!G8</f>
        <v/>
      </c>
      <c r="G22" s="101">
        <f>Datos!F8</f>
        <v/>
      </c>
      <c r="H22" s="101">
        <f>Datos!I8</f>
        <v/>
      </c>
      <c r="I22" s="120">
        <f>IF(Datos!E8&gt;=0.9,"🟢 EXCELENTE",IF(Datos!E8&gt;=0.7,"🟡 EN CAMINO",IF(Datos!E8&gt;=0.5,"🟠 ALERTA","🔴 CRÍTICO")))</f>
        <v/>
      </c>
    </row>
    <row r="23" ht="15.75" customHeight="1" s="137">
      <c r="B23" s="102">
        <f>IF(ISNUMBER(VALUE(LEFT(Datos!B9,4))),MID(Datos!B9,6,100),Datos!B9)</f>
        <v/>
      </c>
      <c r="C23" s="103">
        <f>Datos!C9</f>
        <v/>
      </c>
      <c r="D23" s="104">
        <f>Datos!D9</f>
        <v/>
      </c>
      <c r="E23" s="213">
        <f>Datos!E9</f>
        <v/>
      </c>
      <c r="F23" s="106">
        <f>Datos!G9</f>
        <v/>
      </c>
      <c r="G23" s="106">
        <f>Datos!F9</f>
        <v/>
      </c>
      <c r="H23" s="106">
        <f>Datos!I9</f>
        <v/>
      </c>
      <c r="I23" s="121">
        <f>IF(Datos!E9&gt;=0.9,"🟢 EXCELENTE",IF(Datos!E9&gt;=0.7,"🟡 EN CAMINO",IF(Datos!E9&gt;=0.5,"🟠 ALERTA","🔴 CRÍTICO")))</f>
        <v/>
      </c>
    </row>
    <row r="24" ht="15.75" customHeight="1" s="137">
      <c r="B24" s="97">
        <f>IF(ISNUMBER(VALUE(LEFT(Datos!B10,4))),MID(Datos!B10,6,100),Datos!B10)</f>
        <v/>
      </c>
      <c r="C24" s="98">
        <f>Datos!C10</f>
        <v/>
      </c>
      <c r="D24" s="99">
        <f>Datos!D10</f>
        <v/>
      </c>
      <c r="E24" s="212">
        <f>Datos!E10</f>
        <v/>
      </c>
      <c r="F24" s="101">
        <f>Datos!G10</f>
        <v/>
      </c>
      <c r="G24" s="101">
        <f>Datos!F10</f>
        <v/>
      </c>
      <c r="H24" s="101">
        <f>Datos!I10</f>
        <v/>
      </c>
      <c r="I24" s="120">
        <f>IF(Datos!E10&gt;=0.9,"🟢 EXCELENTE",IF(Datos!E10&gt;=0.7,"🟡 EN CAMINO",IF(Datos!E10&gt;=0.5,"🟠 ALERTA","🔴 CRÍTICO")))</f>
        <v/>
      </c>
    </row>
    <row r="25" ht="15.75" customHeight="1" s="137">
      <c r="B25" s="102">
        <f>IF(ISNUMBER(VALUE(LEFT(Datos!B11,4))),MID(Datos!B11,6,100),Datos!B11)</f>
        <v/>
      </c>
      <c r="C25" s="103">
        <f>Datos!C11</f>
        <v/>
      </c>
      <c r="D25" s="104">
        <f>Datos!D11</f>
        <v/>
      </c>
      <c r="E25" s="213">
        <f>Datos!E11</f>
        <v/>
      </c>
      <c r="F25" s="106">
        <f>Datos!G11</f>
        <v/>
      </c>
      <c r="G25" s="106">
        <f>Datos!F11</f>
        <v/>
      </c>
      <c r="H25" s="106">
        <f>Datos!I11</f>
        <v/>
      </c>
      <c r="I25" s="121">
        <f>IF(Datos!E11&gt;=0.9,"🟢 EXCELENTE",IF(Datos!E11&gt;=0.7,"🟡 EN CAMINO",IF(Datos!E11&gt;=0.5,"🟠 ALERTA","🔴 CRÍTICO")))</f>
        <v/>
      </c>
    </row>
    <row r="26" ht="18" customHeight="1" s="137">
      <c r="B26" s="107" t="inlineStr">
        <is>
          <t>TOTAL SANIN</t>
        </is>
      </c>
      <c r="C26" s="122">
        <f>Datos!C4+Datos!C5+Datos!C6+Datos!C7+Datos!C8+Datos!C9+Datos!C10+Datos!C11</f>
        <v/>
      </c>
      <c r="D26" s="109">
        <f>Datos!D4+Datos!D5+Datos!D6+Datos!D7+Datos!D8+Datos!D9+Datos!D10+Datos!D11</f>
        <v/>
      </c>
      <c r="E26" s="214">
        <f>D26/C26</f>
        <v/>
      </c>
      <c r="F26" s="122">
        <f>Datos!G4+Datos!G5+Datos!G6+Datos!G7+Datos!G8+Datos!G9+Datos!G10+Datos!G11</f>
        <v/>
      </c>
      <c r="G26" s="122">
        <f>Datos!F4+Datos!F5+Datos!F6+Datos!F7+Datos!F8+Datos!F9+Datos!F10+Datos!F11</f>
        <v/>
      </c>
      <c r="H26" s="155">
        <f>SUM(H18:H25)</f>
        <v/>
      </c>
      <c r="I26" s="214">
        <f>F26/G26</f>
        <v/>
      </c>
    </row>
    <row r="27" ht="7.5" customHeight="1" s="137"/>
    <row r="28" ht="18" customHeight="1" s="137">
      <c r="B28" s="158" t="inlineStr">
        <is>
          <t>ANÁLISIS DE GESTIÓN</t>
        </is>
      </c>
    </row>
    <row r="29" ht="15.75" customHeight="1" s="137">
      <c r="B29" s="156">
        <f>"▶ Venta del día en progreso: "&amp;TEXT((Datos!D4+Datos!D5+Datos!D6+Datos!D7+Datos!D8+Datos!D9+Datos!D10+Datos!D11)/(Datos!C4+Datos!C5+Datos!C6+Datos!C7+Datos!C8+Datos!C9+Datos!C10+Datos!C11),"0.0%")&amp;" del presupuesto."</f>
        <v/>
      </c>
    </row>
    <row r="30" ht="15.75" customHeight="1" s="137">
      <c r="B30" s="153">
        <f>IF(COUNTIF(Datos!H4:H11,"&gt;="&amp;1)=8,"✔ "&amp;8&amp;" de 8 asesores cumplen meta. Excedente de "&amp;ABS((Datos!G4+Datos!G5+Datos!G6+Datos!G7+Datos!G8+Datos!G9+Datos!G10+Datos!G11)-(Datos!F4+Datos!F5+Datos!F6+Datos!F7+Datos!F8+Datos!F9+Datos!F10+Datos!F11))&amp;" pedidos sobre el objetivo.","▶ "&amp;COUNTIF(Datos!H4:H11,"&gt;="&amp;1)&amp;" de 8 asesores cumplen meta. Pendiente cerrar "&amp;MAX(0,(Datos!F4+Datos!F5+Datos!F6+Datos!F7+Datos!F8+Datos!F9+Datos!F10+Datos!F11)-(Datos!G4+Datos!G5+Datos!G6+Datos!G7+Datos!G8+Datos!G9+Datos!G10+Datos!G11))&amp;" pedidos.")</f>
        <v/>
      </c>
    </row>
    <row r="31" ht="15.75" customHeight="1" s="137">
      <c r="B31" s="156">
        <f>"★ Mejor asesor: "&amp;IF(ISNUMBER(VALUE(LEFT(INDEX(Datos!B4:B11,MATCH(MAX(Datos!D4:D11),Datos!D4:D11,0)),4))),MID(INDEX(Datos!B4:B11,MATCH(MAX(Datos!D4:D11),Datos!D4:D11,0)),6,100),INDEX(Datos!B4:B11,MATCH(MAX(Datos!D4:D11),Datos!D4:D11,0)))&amp;" con "&amp;TEXT(MAX(Datos!D4:D11),"$#,##0")&amp;" y "&amp;INDEX(Datos!G4:G11,MATCH(MAX(Datos!D4:D11),Datos!D4:D11,0))&amp;" facturas."</f>
        <v/>
      </c>
    </row>
    <row r="32" ht="15.75" customHeight="1" s="137">
      <c r="B32" s="153">
        <f>"⚠ Asesor con menor venta: "&amp;IF(ISNUMBER(VALUE(LEFT(INDEX(Datos!B4:B11,MATCH(MIN(Datos!D4:D11),Datos!D4:D11,0)),4))),MID(INDEX(Datos!B4:B11,MATCH(MIN(Datos!D4:D11),Datos!D4:D11,0)),6,100),INDEX(Datos!B4:B11,MATCH(MIN(Datos!D4:D11),Datos!D4:D11,0)))&amp;" con "&amp;TEXT(MIN(Datos!D4:D11),"$#,##0")&amp;" ("&amp;TEXT(MIN(Datos!E4:E11),"0.0%")&amp;" del ppto)."</f>
        <v/>
      </c>
    </row>
  </sheetData>
  <mergeCells count="24">
    <mergeCell ref="F11:G11"/>
    <mergeCell ref="B16:I16"/>
    <mergeCell ref="B7:C9"/>
    <mergeCell ref="F6:G6"/>
    <mergeCell ref="B31:I31"/>
    <mergeCell ref="D6:E6"/>
    <mergeCell ref="F7:G9"/>
    <mergeCell ref="B12:C14"/>
    <mergeCell ref="H6:I6"/>
    <mergeCell ref="B11:C11"/>
    <mergeCell ref="D11:E11"/>
    <mergeCell ref="F12:G14"/>
    <mergeCell ref="B1:I3"/>
    <mergeCell ref="H11:I11"/>
    <mergeCell ref="B29:I29"/>
    <mergeCell ref="D7:E9"/>
    <mergeCell ref="B28:I28"/>
    <mergeCell ref="B6:C6"/>
    <mergeCell ref="H7:I9"/>
    <mergeCell ref="B30:I30"/>
    <mergeCell ref="D12:E14"/>
    <mergeCell ref="H12:I14"/>
    <mergeCell ref="B32:I32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B4" sqref="B1:I27"/>
    </sheetView>
  </sheetViews>
  <sheetFormatPr baseColWidth="10" defaultColWidth="8.88671875" defaultRowHeight="14.4"/>
  <cols>
    <col width="3" customWidth="1" style="137" min="1" max="1"/>
    <col width="30" customWidth="1" style="137" min="2" max="2"/>
    <col width="16" customWidth="1" style="137" min="3" max="4"/>
    <col width="15" customWidth="1" style="137" min="5" max="5"/>
    <col width="13" customWidth="1" style="137" min="6" max="6"/>
    <col width="12" customWidth="1" style="137" min="7" max="7"/>
    <col width="14" customWidth="1" style="137" min="8" max="8"/>
    <col width="13" customWidth="1" style="137" min="9" max="9"/>
    <col width="3" customWidth="1" style="137" min="10" max="10"/>
  </cols>
  <sheetData>
    <row r="1" ht="12" customHeight="1" s="137">
      <c r="B1" s="154" t="inlineStr">
        <is>
          <t>UNIDAD DE NEGOCIO — CASA LUKER</t>
        </is>
      </c>
    </row>
    <row r="2" ht="21.75" customHeight="1" s="137"/>
    <row r="3" ht="12" customHeight="1" s="137"/>
    <row r="4" ht="18" customHeight="1" s="137">
      <c r="B4" s="152" t="inlineStr">
        <is>
          <t>Corte: MARZO 2025  |  Asesores: 8  |  Informe automático</t>
        </is>
      </c>
    </row>
    <row r="5" ht="7.5" customHeight="1" s="137"/>
    <row r="6" ht="18" customHeight="1" s="137">
      <c r="B6" s="169" t="inlineStr">
        <is>
          <t>VENTA DÍA</t>
        </is>
      </c>
      <c r="D6" s="155" t="inlineStr">
        <is>
          <t>PRESUPUESTO DÍA</t>
        </is>
      </c>
      <c r="F6" s="166" t="inlineStr">
        <is>
          <t>% CUMPL. PPTO</t>
        </is>
      </c>
      <c r="H6" s="169" t="inlineStr">
        <is>
          <t>% CUMPL. PLAN</t>
        </is>
      </c>
    </row>
    <row r="7" ht="18" customHeight="1" s="137">
      <c r="B7" s="160">
        <f>TEXT((Datos!D20+Datos!D21+Datos!D22+Datos!D23+Datos!D24+Datos!D25+Datos!D26+Datos!D27)/1000000,"$#,##0.00")&amp;"M"</f>
        <v/>
      </c>
      <c r="D7" s="157">
        <f>TEXT((Datos!C20+Datos!C21+Datos!C22+Datos!C23+Datos!C24+Datos!C25+Datos!C26+Datos!C27)/1000000,"$#,##0.00")&amp;"M"</f>
        <v/>
      </c>
      <c r="F7" s="167">
        <f>TEXT((Datos!D20+Datos!D21+Datos!D22+Datos!D23+Datos!D24+Datos!D25+Datos!D26+Datos!D27)/(Datos!C20+Datos!C21+Datos!C22+Datos!C23+Datos!C24+Datos!C25+Datos!C26+Datos!C27),"0.0%")</f>
        <v/>
      </c>
      <c r="H7" s="160">
        <f>TEXT((Datos!G20+Datos!G21+Datos!G22+Datos!G23+Datos!G24+Datos!G25+Datos!G26+Datos!G27)/(Datos!F20+Datos!F21+Datos!F22+Datos!F23+Datos!F24+Datos!F25+Datos!F26+Datos!F27),"0.0%")</f>
        <v/>
      </c>
    </row>
    <row r="8" ht="18" customHeight="1" s="137"/>
    <row r="9" ht="18" customHeight="1" s="137"/>
    <row r="10" ht="7.5" customHeight="1" s="137"/>
    <row r="11" ht="18" customHeight="1" s="137">
      <c r="B11" s="170" t="inlineStr">
        <is>
          <t>FACTURAS / OBJETIVO</t>
        </is>
      </c>
      <c r="D11" s="166" t="inlineStr">
        <is>
          <t>CUMPLEN META PLAN</t>
        </is>
      </c>
      <c r="F11" s="172" t="inlineStr">
        <is>
          <t>MEJOR ASESOR</t>
        </is>
      </c>
      <c r="H11" s="155" t="inlineStr">
        <is>
          <t>PEDIDOS FALTANTES</t>
        </is>
      </c>
    </row>
    <row r="12" ht="18" customHeight="1" s="137">
      <c r="B12" s="168">
        <f>TEXT(Datos!G20+Datos!G21+Datos!G22+Datos!G23+Datos!G24+Datos!G25+Datos!G26+Datos!G27,"0")&amp;" / "&amp;TEXT(Datos!F20+Datos!F21+Datos!F22+Datos!F23+Datos!F24+Datos!F25+Datos!F26+Datos!F27,"0")</f>
        <v/>
      </c>
      <c r="D12" s="161">
        <f>TEXT(COUNTIF(Datos!H20:H27,"&gt;="&amp;1),"0")&amp;" / "&amp;"8"</f>
        <v/>
      </c>
      <c r="F12" s="174">
        <f>IF(ISNUMBER(VALUE(LEFT(INDEX(Datos!B20:B27,MATCH(MAX(Datos!D20:D27),Datos!D20:D27,0)),4))),MID(INDEX(Datos!B20:B27,MATCH(MAX(Datos!D20:D27),Datos!D20:D27,0)),6,100),INDEX(Datos!B20:B27,MATCH(MAX(Datos!D20:D27),Datos!D20:D27,0)))</f>
        <v/>
      </c>
      <c r="H12" s="162">
        <f>TEXT(ABS(Datos!F20+Datos!F21+Datos!F22+Datos!F23+Datos!F24+Datos!F25+Datos!F26+Datos!F27-Datos!G20+Datos!G21+Datos!G22+Datos!G23+Datos!G24+Datos!G25+Datos!G26+Datos!G27),"0")&amp;IF(Datos!G20+Datos!G21+Datos!G22+Datos!G23+Datos!G24+Datos!G25+Datos!G26+Datos!G27&gt;=Datos!F20+Datos!F21+Datos!F22+Datos!F23+Datos!F24+Datos!F25+Datos!F26+Datos!F27," excedente"," pedidos")</f>
        <v/>
      </c>
    </row>
    <row r="13" ht="18" customHeight="1" s="137"/>
    <row r="14" ht="18" customHeight="1" s="137"/>
    <row r="15" ht="7.5" customHeight="1" s="137"/>
    <row r="16" ht="19.5" customHeight="1" s="137">
      <c r="B16" s="173" t="inlineStr">
        <is>
          <t>DETALLE DE ASESORES — CASA LUKER</t>
        </is>
      </c>
    </row>
    <row r="17" ht="19.5" customHeight="1" s="137">
      <c r="B17" s="159" t="inlineStr">
        <is>
          <t>Asesor Comercial</t>
        </is>
      </c>
      <c r="C17" s="159" t="inlineStr">
        <is>
          <t>Ppto Día ($)</t>
        </is>
      </c>
      <c r="D17" s="159" t="inlineStr">
        <is>
          <t>Venta Día ($)</t>
        </is>
      </c>
      <c r="E17" s="159" t="inlineStr">
        <is>
          <t>% Cumpl. Ppto</t>
        </is>
      </c>
      <c r="F17" s="159" t="inlineStr">
        <is>
          <t># Facturas</t>
        </is>
      </c>
      <c r="G17" s="159" t="inlineStr">
        <is>
          <t>Obj. Plan</t>
        </is>
      </c>
      <c r="H17" s="159" t="inlineStr">
        <is>
          <t>Faltante</t>
        </is>
      </c>
      <c r="I17" s="159" t="inlineStr">
        <is>
          <t>Estado Plan</t>
        </is>
      </c>
    </row>
    <row r="18" ht="15.75" customHeight="1" s="137">
      <c r="B18" s="97">
        <f>IF(ISNUMBER(VALUE(LEFT(Datos!B20,4))),MID(Datos!B20,6,100),Datos!B20)</f>
        <v/>
      </c>
      <c r="C18" s="98">
        <f>Datos!C20</f>
        <v/>
      </c>
      <c r="D18" s="99">
        <f>Datos!D20</f>
        <v/>
      </c>
      <c r="E18" s="212">
        <f>Datos!E20</f>
        <v/>
      </c>
      <c r="F18" s="101">
        <f>Datos!G20</f>
        <v/>
      </c>
      <c r="G18" s="101">
        <f>Datos!F20</f>
        <v/>
      </c>
      <c r="H18" s="101">
        <f>Datos!I20</f>
        <v/>
      </c>
      <c r="I18" s="120">
        <f>IF(Datos!E20&gt;=0.9,"🟢 EXCELENTE",IF(Datos!E20&gt;=0.7,"🟡 EN CAMINO",IF(Datos!E20&gt;=0.5,"🟠 ALERTA","🔴 CRÍTICO")))</f>
        <v/>
      </c>
    </row>
    <row r="19" ht="15.75" customHeight="1" s="137">
      <c r="B19" s="102">
        <f>IF(ISNUMBER(VALUE(LEFT(Datos!B21,4))),MID(Datos!B21,6,100),Datos!B21)</f>
        <v/>
      </c>
      <c r="C19" s="103">
        <f>Datos!C21</f>
        <v/>
      </c>
      <c r="D19" s="104">
        <f>Datos!D21</f>
        <v/>
      </c>
      <c r="E19" s="213">
        <f>Datos!E21</f>
        <v/>
      </c>
      <c r="F19" s="106">
        <f>Datos!G21</f>
        <v/>
      </c>
      <c r="G19" s="106">
        <f>Datos!F21</f>
        <v/>
      </c>
      <c r="H19" s="106">
        <f>Datos!I21</f>
        <v/>
      </c>
      <c r="I19" s="121">
        <f>IF(Datos!E21&gt;=0.9,"🟢 EXCELENTE",IF(Datos!E21&gt;=0.7,"🟡 EN CAMINO",IF(Datos!E21&gt;=0.5,"🟠 ALERTA","🔴 CRÍTICO")))</f>
        <v/>
      </c>
    </row>
    <row r="20" ht="15.75" customHeight="1" s="137">
      <c r="B20" s="97">
        <f>IF(ISNUMBER(VALUE(LEFT(Datos!B22,4))),MID(Datos!B22,6,100),Datos!B22)</f>
        <v/>
      </c>
      <c r="C20" s="98">
        <f>Datos!C22</f>
        <v/>
      </c>
      <c r="D20" s="99">
        <f>Datos!D22</f>
        <v/>
      </c>
      <c r="E20" s="212">
        <f>Datos!E22</f>
        <v/>
      </c>
      <c r="F20" s="101">
        <f>Datos!G22</f>
        <v/>
      </c>
      <c r="G20" s="101">
        <f>Datos!F22</f>
        <v/>
      </c>
      <c r="H20" s="101">
        <f>Datos!I22</f>
        <v/>
      </c>
      <c r="I20" s="120">
        <f>IF(Datos!E22&gt;=0.9,"🟢 EXCELENTE",IF(Datos!E22&gt;=0.7,"🟡 EN CAMINO",IF(Datos!E22&gt;=0.5,"🟠 ALERTA","🔴 CRÍTICO")))</f>
        <v/>
      </c>
    </row>
    <row r="21" ht="15.75" customHeight="1" s="137">
      <c r="B21" s="102">
        <f>IF(ISNUMBER(VALUE(LEFT(Datos!B23,4))),MID(Datos!B23,6,100),Datos!B23)</f>
        <v/>
      </c>
      <c r="C21" s="103">
        <f>Datos!C23</f>
        <v/>
      </c>
      <c r="D21" s="104">
        <f>Datos!D23</f>
        <v/>
      </c>
      <c r="E21" s="213">
        <f>Datos!E23</f>
        <v/>
      </c>
      <c r="F21" s="106">
        <f>Datos!G23</f>
        <v/>
      </c>
      <c r="G21" s="106">
        <f>Datos!F23</f>
        <v/>
      </c>
      <c r="H21" s="106">
        <f>Datos!I23</f>
        <v/>
      </c>
      <c r="I21" s="121">
        <f>IF(Datos!E23&gt;=0.9,"🟢 EXCELENTE",IF(Datos!E23&gt;=0.7,"🟡 EN CAMINO",IF(Datos!E23&gt;=0.5,"🟠 ALERTA","🔴 CRÍTICO")))</f>
        <v/>
      </c>
    </row>
    <row r="22" ht="15.75" customHeight="1" s="137">
      <c r="B22" s="97">
        <f>IF(ISNUMBER(VALUE(LEFT(Datos!B24,4))),MID(Datos!B24,6,100),Datos!B24)</f>
        <v/>
      </c>
      <c r="C22" s="98">
        <f>Datos!C24</f>
        <v/>
      </c>
      <c r="D22" s="99">
        <f>Datos!D24</f>
        <v/>
      </c>
      <c r="E22" s="212">
        <f>Datos!E24</f>
        <v/>
      </c>
      <c r="F22" s="101">
        <f>Datos!G24</f>
        <v/>
      </c>
      <c r="G22" s="101">
        <f>Datos!F24</f>
        <v/>
      </c>
      <c r="H22" s="101">
        <f>Datos!I24</f>
        <v/>
      </c>
      <c r="I22" s="120">
        <f>IF(Datos!E24&gt;=0.9,"🟢 EXCELENTE",IF(Datos!E24&gt;=0.7,"🟡 EN CAMINO",IF(Datos!E24&gt;=0.5,"🟠 ALERTA","🔴 CRÍTICO")))</f>
        <v/>
      </c>
    </row>
    <row r="23" ht="15.75" customHeight="1" s="137">
      <c r="B23" s="102">
        <f>IF(ISNUMBER(VALUE(LEFT(Datos!B25,4))),MID(Datos!B25,6,100),Datos!B25)</f>
        <v/>
      </c>
      <c r="C23" s="103">
        <f>Datos!C25</f>
        <v/>
      </c>
      <c r="D23" s="104">
        <f>Datos!D25</f>
        <v/>
      </c>
      <c r="E23" s="213">
        <f>Datos!E25</f>
        <v/>
      </c>
      <c r="F23" s="106">
        <f>Datos!G25</f>
        <v/>
      </c>
      <c r="G23" s="106">
        <f>Datos!F25</f>
        <v/>
      </c>
      <c r="H23" s="106">
        <f>Datos!I25</f>
        <v/>
      </c>
      <c r="I23" s="121">
        <f>IF(Datos!E25&gt;=0.9,"🟢 EXCELENTE",IF(Datos!E25&gt;=0.7,"🟡 EN CAMINO",IF(Datos!E25&gt;=0.5,"🟠 ALERTA","🔴 CRÍTICO")))</f>
        <v/>
      </c>
    </row>
    <row r="24" ht="15.75" customHeight="1" s="137">
      <c r="B24" s="97">
        <f>IF(ISNUMBER(VALUE(LEFT(Datos!B26,4))),MID(Datos!B26,6,100),Datos!B26)</f>
        <v/>
      </c>
      <c r="C24" s="98">
        <f>Datos!C26</f>
        <v/>
      </c>
      <c r="D24" s="99">
        <f>Datos!D26</f>
        <v/>
      </c>
      <c r="E24" s="212">
        <f>Datos!E26</f>
        <v/>
      </c>
      <c r="F24" s="101">
        <f>Datos!G26</f>
        <v/>
      </c>
      <c r="G24" s="101">
        <f>Datos!F26</f>
        <v/>
      </c>
      <c r="H24" s="101">
        <f>Datos!I26</f>
        <v/>
      </c>
      <c r="I24" s="120">
        <f>IF(Datos!E26&gt;=0.9,"🟢 EXCELENTE",IF(Datos!E26&gt;=0.7,"🟡 EN CAMINO",IF(Datos!E26&gt;=0.5,"🟠 ALERTA","🔴 CRÍTICO")))</f>
        <v/>
      </c>
    </row>
    <row r="25" ht="15.75" customHeight="1" s="137">
      <c r="B25" s="102">
        <f>IF(ISNUMBER(VALUE(LEFT(Datos!B27,4))),MID(Datos!B27,6,100),Datos!B27)</f>
        <v/>
      </c>
      <c r="C25" s="103">
        <f>Datos!C27</f>
        <v/>
      </c>
      <c r="D25" s="104">
        <f>Datos!D27</f>
        <v/>
      </c>
      <c r="E25" s="213">
        <f>Datos!E27</f>
        <v/>
      </c>
      <c r="F25" s="106">
        <f>Datos!G27</f>
        <v/>
      </c>
      <c r="G25" s="106">
        <f>Datos!F27</f>
        <v/>
      </c>
      <c r="H25" s="106">
        <f>Datos!I27</f>
        <v/>
      </c>
      <c r="I25" s="121">
        <f>IF(Datos!E27&gt;=0.9,"🟢 EXCELENTE",IF(Datos!E27&gt;=0.7,"🟡 EN CAMINO",IF(Datos!E27&gt;=0.5,"🟠 ALERTA","🔴 CRÍTICO")))</f>
        <v/>
      </c>
    </row>
    <row r="26" ht="18" customHeight="1" s="137">
      <c r="B26" s="107" t="inlineStr">
        <is>
          <t>TOTAL CASA LUKER</t>
        </is>
      </c>
      <c r="C26" s="122">
        <f>Datos!C20+Datos!C21+Datos!C22+Datos!C23+Datos!C24+Datos!C25+Datos!C26+Datos!C27</f>
        <v/>
      </c>
      <c r="D26" s="109">
        <f>Datos!D20+Datos!D21+Datos!D22+Datos!D23+Datos!D24+Datos!D25+Datos!D26+Datos!D27</f>
        <v/>
      </c>
      <c r="E26" s="214">
        <f>D26/C26</f>
        <v/>
      </c>
      <c r="F26" s="122">
        <f>Datos!G20+Datos!G21+Datos!G22+Datos!G23+Datos!G24+Datos!G25+Datos!G26+Datos!G27</f>
        <v/>
      </c>
      <c r="G26" s="122">
        <f>Datos!F20+Datos!F21+Datos!F22+Datos!F23+Datos!F24+Datos!F25+Datos!F26+Datos!F27</f>
        <v/>
      </c>
      <c r="H26" s="155">
        <f>SUM(H18:H25)</f>
        <v/>
      </c>
      <c r="I26" s="214">
        <f>F26/G26</f>
        <v/>
      </c>
    </row>
    <row r="27" ht="7.5" customHeight="1" s="137"/>
    <row r="28" ht="18" customHeight="1" s="137">
      <c r="B28" s="158" t="inlineStr">
        <is>
          <t>ANÁLISIS DE GESTIÓN</t>
        </is>
      </c>
    </row>
    <row r="29" ht="15.75" customHeight="1" s="137">
      <c r="B29" s="156">
        <f>"▶ Venta del día en progreso: "&amp;TEXT((Datos!D20+Datos!D21+Datos!D22+Datos!D23+Datos!D24+Datos!D25+Datos!D26+Datos!D27)/(Datos!C20+Datos!C21+Datos!C22+Datos!C23+Datos!C24+Datos!C25+Datos!C26+Datos!C27),"0.0%")&amp;" del presupuesto."</f>
        <v/>
      </c>
    </row>
    <row r="30" ht="15.75" customHeight="1" s="137">
      <c r="B30" s="153">
        <f>IF(COUNTIF(Datos!H20:H27,"&gt;="&amp;1)=8,"✔ "&amp;8&amp;" de 8 asesores cumplen meta. Excedente de "&amp;ABS((Datos!G20+Datos!G21+Datos!G22+Datos!G23+Datos!G24+Datos!G25+Datos!G26+Datos!G27)-(Datos!F20+Datos!F21+Datos!F22+Datos!F23+Datos!F24+Datos!F25+Datos!F26+Datos!F27))&amp;" pedidos sobre el objetivo.","▶ "&amp;COUNTIF(Datos!H20:H27,"&gt;="&amp;1)&amp;" de 8 asesores cumplen meta. Pendiente cerrar "&amp;MAX(0,(Datos!F20+Datos!F21+Datos!F22+Datos!F23+Datos!F24+Datos!F25+Datos!F26+Datos!F27)-(Datos!G20+Datos!G21+Datos!G22+Datos!G23+Datos!G24+Datos!G25+Datos!G26+Datos!G27))&amp;" pedidos.")</f>
        <v/>
      </c>
    </row>
    <row r="31" ht="15.75" customHeight="1" s="137">
      <c r="B31" s="156">
        <f>"★ Mejor asesor: "&amp;IF(ISNUMBER(VALUE(LEFT(INDEX(Datos!B20:B27,MATCH(MAX(Datos!D20:D27),Datos!D20:D27,0)),4))),MID(INDEX(Datos!B20:B27,MATCH(MAX(Datos!D20:D27),Datos!D20:D27,0)),6,100),INDEX(Datos!B20:B27,MATCH(MAX(Datos!D20:D27),Datos!D20:D27,0)))&amp;" con "&amp;TEXT(MAX(Datos!D20:D27),"$#,##0")&amp;" y "&amp;INDEX(Datos!G20:G27,MATCH(MAX(Datos!D20:D27),Datos!D20:D27,0))&amp;" facturas."</f>
        <v/>
      </c>
    </row>
    <row r="32" ht="15.75" customHeight="1" s="137">
      <c r="B32" s="153">
        <f>"⚠ Asesor con menor venta: "&amp;IF(ISNUMBER(VALUE(LEFT(INDEX(Datos!B20:B27,MATCH(MIN(Datos!D20:D27),Datos!D20:D27,0)),4))),MID(INDEX(Datos!B20:B27,MATCH(MIN(Datos!D20:D27),Datos!D20:D27,0)),6,100),INDEX(Datos!B20:B27,MATCH(MIN(Datos!D20:D27),Datos!D20:D27,0)))&amp;" con "&amp;TEXT(MIN(Datos!D20:D27),"$#,##0")&amp;" ("&amp;TEXT(MIN(Datos!E20:E27),"0.0%")&amp;" del ppto)."</f>
        <v/>
      </c>
    </row>
  </sheetData>
  <mergeCells count="24">
    <mergeCell ref="F11:G11"/>
    <mergeCell ref="B16:I16"/>
    <mergeCell ref="B7:C9"/>
    <mergeCell ref="F6:G6"/>
    <mergeCell ref="B31:I31"/>
    <mergeCell ref="D6:E6"/>
    <mergeCell ref="F7:G9"/>
    <mergeCell ref="B12:C14"/>
    <mergeCell ref="H6:I6"/>
    <mergeCell ref="B11:C11"/>
    <mergeCell ref="D11:E11"/>
    <mergeCell ref="F12:G14"/>
    <mergeCell ref="B1:I3"/>
    <mergeCell ref="H11:I11"/>
    <mergeCell ref="B29:I29"/>
    <mergeCell ref="D7:E9"/>
    <mergeCell ref="B28:I28"/>
    <mergeCell ref="B6:C6"/>
    <mergeCell ref="H7:I9"/>
    <mergeCell ref="B30:I30"/>
    <mergeCell ref="D12:E14"/>
    <mergeCell ref="H12:I14"/>
    <mergeCell ref="B32:I32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B1" sqref="B1:I27"/>
    </sheetView>
  </sheetViews>
  <sheetFormatPr baseColWidth="10" defaultColWidth="8.88671875" defaultRowHeight="14.4"/>
  <cols>
    <col width="3" customWidth="1" style="137" min="1" max="1"/>
    <col width="30" customWidth="1" style="137" min="2" max="2"/>
    <col width="16" customWidth="1" style="137" min="3" max="4"/>
    <col width="15" customWidth="1" style="137" min="5" max="5"/>
    <col width="13" customWidth="1" style="137" min="6" max="6"/>
    <col width="12" customWidth="1" style="137" min="7" max="7"/>
    <col width="14" customWidth="1" style="137" min="8" max="8"/>
    <col width="13" customWidth="1" style="137" min="9" max="9"/>
    <col width="3" customWidth="1" style="137" min="10" max="10"/>
  </cols>
  <sheetData>
    <row r="1" ht="12" customHeight="1" s="137">
      <c r="B1" s="154" t="inlineStr">
        <is>
          <t>UNIDAD DE NEGOCIO — COLOMBINA</t>
        </is>
      </c>
    </row>
    <row r="2" ht="21.75" customHeight="1" s="137"/>
    <row r="3" ht="12" customHeight="1" s="137"/>
    <row r="4" ht="18" customHeight="1" s="137">
      <c r="B4" s="152" t="inlineStr">
        <is>
          <t>Corte: MARZO 2025  |  Asesores: 8  |  Informe automático</t>
        </is>
      </c>
    </row>
    <row r="5" ht="7.5" customHeight="1" s="137"/>
    <row r="6" ht="18" customHeight="1" s="137">
      <c r="B6" s="170" t="inlineStr">
        <is>
          <t>VENTA DÍA</t>
        </is>
      </c>
      <c r="D6" s="155" t="inlineStr">
        <is>
          <t>PRESUPUESTO DÍA</t>
        </is>
      </c>
      <c r="F6" s="166" t="inlineStr">
        <is>
          <t>% CUMPL. PPTO</t>
        </is>
      </c>
      <c r="H6" s="169" t="inlineStr">
        <is>
          <t>% CUMPL. PLAN</t>
        </is>
      </c>
    </row>
    <row r="7" ht="18" customHeight="1" s="137">
      <c r="B7" s="177">
        <f>TEXT((Datos!D12+Datos!D13+Datos!D14+Datos!D15+Datos!D16+Datos!D17+Datos!D18+Datos!D19)/1000000,"$#,##0.00")&amp;"M"</f>
        <v/>
      </c>
      <c r="D7" s="157">
        <f>TEXT((Datos!C12+Datos!C13+Datos!C14+Datos!C15+Datos!C16+Datos!C17+Datos!C18+Datos!C19)/1000000,"$#,##0.00")&amp;"M"</f>
        <v/>
      </c>
      <c r="F7" s="167">
        <f>TEXT((Datos!D12+Datos!D13+Datos!D14+Datos!D15+Datos!D16+Datos!D17+Datos!D18+Datos!D19)/(Datos!C12+Datos!C13+Datos!C14+Datos!C15+Datos!C16+Datos!C17+Datos!C18+Datos!C19),"0.0%")</f>
        <v/>
      </c>
      <c r="H7" s="160">
        <f>TEXT((Datos!G12+Datos!G13+Datos!G14+Datos!G15+Datos!G16+Datos!G17+Datos!G18+Datos!G19)/(Datos!F12+Datos!F13+Datos!F14+Datos!F15+Datos!F16+Datos!F17+Datos!F18+Datos!F19),"0.0%")</f>
        <v/>
      </c>
    </row>
    <row r="8" ht="18" customHeight="1" s="137"/>
    <row r="9" ht="18" customHeight="1" s="137"/>
    <row r="10" ht="7.5" customHeight="1" s="137"/>
    <row r="11" ht="18" customHeight="1" s="137">
      <c r="B11" s="170" t="inlineStr">
        <is>
          <t>FACTURAS / OBJETIVO</t>
        </is>
      </c>
      <c r="D11" s="166" t="inlineStr">
        <is>
          <t>CUMPLEN META PLAN</t>
        </is>
      </c>
      <c r="F11" s="175" t="inlineStr">
        <is>
          <t>MEJOR ASESOR</t>
        </is>
      </c>
      <c r="H11" s="155" t="inlineStr">
        <is>
          <t>PEDIDOS FALTANTES</t>
        </is>
      </c>
    </row>
    <row r="12" ht="18" customHeight="1" s="137">
      <c r="B12" s="168">
        <f>TEXT(Datos!G12+Datos!G13+Datos!G14+Datos!G15+Datos!G16+Datos!G17+Datos!G18+Datos!G19,"0")&amp;" / "&amp;TEXT(Datos!F12+Datos!F13+Datos!F14+Datos!F15+Datos!F16+Datos!F17+Datos!F18+Datos!F19,"0")</f>
        <v/>
      </c>
      <c r="D12" s="161">
        <f>TEXT(COUNTIF(Datos!H12:H19,"&gt;="&amp;1),"0")&amp;" / "&amp;"8"</f>
        <v/>
      </c>
      <c r="F12" s="168">
        <f>IF(ISNUMBER(VALUE(LEFT(INDEX(Datos!B12:B19,MATCH(MAX(Datos!D12:D19),Datos!D12:D19,0)),4))),MID(INDEX(Datos!B12:B19,MATCH(MAX(Datos!D12:D19),Datos!D12:D19,0)),6,100),INDEX(Datos!B12:B19,MATCH(MAX(Datos!D12:D19),Datos!D12:D19,0)))</f>
        <v/>
      </c>
      <c r="H12" s="162">
        <f>TEXT(ABS(Datos!F12+Datos!F13+Datos!F14+Datos!F15+Datos!F16+Datos!F17+Datos!F18+Datos!F19-Datos!G12+Datos!G13+Datos!G14+Datos!G15+Datos!G16+Datos!G17+Datos!G18+Datos!G19),"0")&amp;IF(Datos!G12+Datos!G13+Datos!G14+Datos!G15+Datos!G16+Datos!G17+Datos!G18+Datos!G19&gt;=Datos!F12+Datos!F13+Datos!F14+Datos!F15+Datos!F16+Datos!F17+Datos!F18+Datos!F19," excedente"," pedidos")</f>
        <v/>
      </c>
    </row>
    <row r="13" ht="18" customHeight="1" s="137"/>
    <row r="14" ht="18" customHeight="1" s="137"/>
    <row r="15" ht="7.5" customHeight="1" s="137"/>
    <row r="16" ht="19.5" customHeight="1" s="137">
      <c r="B16" s="176" t="inlineStr">
        <is>
          <t>DETALLE DE ASESORES — COLOMBINA</t>
        </is>
      </c>
    </row>
    <row r="17" ht="19.5" customHeight="1" s="137">
      <c r="B17" s="159" t="inlineStr">
        <is>
          <t>Asesor Comercial</t>
        </is>
      </c>
      <c r="C17" s="159" t="inlineStr">
        <is>
          <t>Ppto Día ($)</t>
        </is>
      </c>
      <c r="D17" s="159" t="inlineStr">
        <is>
          <t>Venta Día ($)</t>
        </is>
      </c>
      <c r="E17" s="159" t="inlineStr">
        <is>
          <t>% Cumpl. Ppto</t>
        </is>
      </c>
      <c r="F17" s="159" t="inlineStr">
        <is>
          <t># Facturas</t>
        </is>
      </c>
      <c r="G17" s="159" t="inlineStr">
        <is>
          <t>Obj. Plan</t>
        </is>
      </c>
      <c r="H17" s="159" t="inlineStr">
        <is>
          <t>Faltante</t>
        </is>
      </c>
      <c r="I17" s="159" t="inlineStr">
        <is>
          <t>Estado Plan</t>
        </is>
      </c>
    </row>
    <row r="18" ht="15.75" customHeight="1" s="137">
      <c r="B18" s="97">
        <f>IF(ISNUMBER(VALUE(LEFT(Datos!B12,4))),MID(Datos!B12,6,100),Datos!B12)</f>
        <v/>
      </c>
      <c r="C18" s="98">
        <f>Datos!C12</f>
        <v/>
      </c>
      <c r="D18" s="99">
        <f>Datos!D12</f>
        <v/>
      </c>
      <c r="E18" s="212">
        <f>Datos!E12</f>
        <v/>
      </c>
      <c r="F18" s="101">
        <f>Datos!G12</f>
        <v/>
      </c>
      <c r="G18" s="101">
        <f>Datos!F12</f>
        <v/>
      </c>
      <c r="H18" s="101">
        <f>Datos!I12</f>
        <v/>
      </c>
      <c r="I18" s="120">
        <f>IF(Datos!E12&gt;=0.9,"🟢 EXCELENTE",IF(Datos!E12&gt;=0.7,"🟡 EN CAMINO",IF(Datos!E12&gt;=0.5,"🟠 ALERTA","🔴 CRÍTICO")))</f>
        <v/>
      </c>
    </row>
    <row r="19" ht="15.75" customHeight="1" s="137">
      <c r="B19" s="102">
        <f>IF(ISNUMBER(VALUE(LEFT(Datos!B13,4))),MID(Datos!B13,6,100),Datos!B13)</f>
        <v/>
      </c>
      <c r="C19" s="103">
        <f>Datos!C13</f>
        <v/>
      </c>
      <c r="D19" s="104">
        <f>Datos!D13</f>
        <v/>
      </c>
      <c r="E19" s="213">
        <f>Datos!E13</f>
        <v/>
      </c>
      <c r="F19" s="106">
        <f>Datos!G13</f>
        <v/>
      </c>
      <c r="G19" s="106">
        <f>Datos!F13</f>
        <v/>
      </c>
      <c r="H19" s="106">
        <f>Datos!I13</f>
        <v/>
      </c>
      <c r="I19" s="121">
        <f>IF(Datos!E13&gt;=0.9,"🟢 EXCELENTE",IF(Datos!E13&gt;=0.7,"🟡 EN CAMINO",IF(Datos!E13&gt;=0.5,"🟠 ALERTA","🔴 CRÍTICO")))</f>
        <v/>
      </c>
    </row>
    <row r="20" ht="15.75" customHeight="1" s="137">
      <c r="B20" s="97">
        <f>IF(ISNUMBER(VALUE(LEFT(Datos!B14,4))),MID(Datos!B14,6,100),Datos!B14)</f>
        <v/>
      </c>
      <c r="C20" s="98">
        <f>Datos!C14</f>
        <v/>
      </c>
      <c r="D20" s="99">
        <f>Datos!D14</f>
        <v/>
      </c>
      <c r="E20" s="212">
        <f>Datos!E14</f>
        <v/>
      </c>
      <c r="F20" s="101">
        <f>Datos!G14</f>
        <v/>
      </c>
      <c r="G20" s="101">
        <f>Datos!F14</f>
        <v/>
      </c>
      <c r="H20" s="101">
        <f>Datos!I14</f>
        <v/>
      </c>
      <c r="I20" s="120">
        <f>IF(Datos!E14&gt;=0.9,"🟢 EXCELENTE",IF(Datos!E14&gt;=0.7,"🟡 EN CAMINO",IF(Datos!E14&gt;=0.5,"🟠 ALERTA","🔴 CRÍTICO")))</f>
        <v/>
      </c>
    </row>
    <row r="21" ht="15.75" customHeight="1" s="137">
      <c r="B21" s="102">
        <f>IF(ISNUMBER(VALUE(LEFT(Datos!B15,4))),MID(Datos!B15,6,100),Datos!B15)</f>
        <v/>
      </c>
      <c r="C21" s="103">
        <f>Datos!C15</f>
        <v/>
      </c>
      <c r="D21" s="104">
        <f>Datos!D15</f>
        <v/>
      </c>
      <c r="E21" s="213">
        <f>Datos!E15</f>
        <v/>
      </c>
      <c r="F21" s="106">
        <f>Datos!G15</f>
        <v/>
      </c>
      <c r="G21" s="106">
        <f>Datos!F15</f>
        <v/>
      </c>
      <c r="H21" s="106">
        <f>Datos!I15</f>
        <v/>
      </c>
      <c r="I21" s="121">
        <f>IF(Datos!E15&gt;=0.9,"🟢 EXCELENTE",IF(Datos!E15&gt;=0.7,"🟡 EN CAMINO",IF(Datos!E15&gt;=0.5,"🟠 ALERTA","🔴 CRÍTICO")))</f>
        <v/>
      </c>
    </row>
    <row r="22" ht="15.75" customHeight="1" s="137">
      <c r="B22" s="97">
        <f>IF(ISNUMBER(VALUE(LEFT(Datos!B16,4))),MID(Datos!B16,6,100),Datos!B16)</f>
        <v/>
      </c>
      <c r="C22" s="98">
        <f>Datos!C16</f>
        <v/>
      </c>
      <c r="D22" s="99">
        <f>Datos!D16</f>
        <v/>
      </c>
      <c r="E22" s="212">
        <f>Datos!E16</f>
        <v/>
      </c>
      <c r="F22" s="101">
        <f>Datos!G16</f>
        <v/>
      </c>
      <c r="G22" s="101">
        <f>Datos!F16</f>
        <v/>
      </c>
      <c r="H22" s="101">
        <f>Datos!I16</f>
        <v/>
      </c>
      <c r="I22" s="120">
        <f>IF(Datos!E16&gt;=0.9,"🟢 EXCELENTE",IF(Datos!E16&gt;=0.7,"🟡 EN CAMINO",IF(Datos!E16&gt;=0.5,"🟠 ALERTA","🔴 CRÍTICO")))</f>
        <v/>
      </c>
    </row>
    <row r="23" ht="15.75" customHeight="1" s="137">
      <c r="B23" s="102">
        <f>IF(ISNUMBER(VALUE(LEFT(Datos!B17,4))),MID(Datos!B17,6,100),Datos!B17)</f>
        <v/>
      </c>
      <c r="C23" s="103">
        <f>Datos!C17</f>
        <v/>
      </c>
      <c r="D23" s="104">
        <f>Datos!D17</f>
        <v/>
      </c>
      <c r="E23" s="213">
        <f>Datos!E17</f>
        <v/>
      </c>
      <c r="F23" s="106">
        <f>Datos!G17</f>
        <v/>
      </c>
      <c r="G23" s="106">
        <f>Datos!F17</f>
        <v/>
      </c>
      <c r="H23" s="106">
        <f>Datos!I17</f>
        <v/>
      </c>
      <c r="I23" s="121">
        <f>IF(Datos!E17&gt;=0.9,"🟢 EXCELENTE",IF(Datos!E17&gt;=0.7,"🟡 EN CAMINO",IF(Datos!E17&gt;=0.5,"🟠 ALERTA","🔴 CRÍTICO")))</f>
        <v/>
      </c>
    </row>
    <row r="24" ht="15.75" customHeight="1" s="137">
      <c r="B24" s="97">
        <f>IF(ISNUMBER(VALUE(LEFT(Datos!B18,4))),MID(Datos!B18,6,100),Datos!B18)</f>
        <v/>
      </c>
      <c r="C24" s="98">
        <f>Datos!C18</f>
        <v/>
      </c>
      <c r="D24" s="99">
        <f>Datos!D18</f>
        <v/>
      </c>
      <c r="E24" s="212">
        <f>Datos!E18</f>
        <v/>
      </c>
      <c r="F24" s="101">
        <f>Datos!G18</f>
        <v/>
      </c>
      <c r="G24" s="101">
        <f>Datos!F18</f>
        <v/>
      </c>
      <c r="H24" s="101">
        <f>Datos!I18</f>
        <v/>
      </c>
      <c r="I24" s="120">
        <f>IF(Datos!E18&gt;=0.9,"🟢 EXCELENTE",IF(Datos!E18&gt;=0.7,"🟡 EN CAMINO",IF(Datos!E18&gt;=0.5,"🟠 ALERTA","🔴 CRÍTICO")))</f>
        <v/>
      </c>
    </row>
    <row r="25" ht="15.75" customHeight="1" s="137">
      <c r="B25" s="102">
        <f>IF(ISNUMBER(VALUE(LEFT(Datos!B19,4))),MID(Datos!B19,6,100),Datos!B19)</f>
        <v/>
      </c>
      <c r="C25" s="103">
        <f>Datos!C19</f>
        <v/>
      </c>
      <c r="D25" s="104">
        <f>Datos!D19</f>
        <v/>
      </c>
      <c r="E25" s="213">
        <f>Datos!E19</f>
        <v/>
      </c>
      <c r="F25" s="106">
        <f>Datos!G19</f>
        <v/>
      </c>
      <c r="G25" s="106">
        <f>Datos!F19</f>
        <v/>
      </c>
      <c r="H25" s="106">
        <f>Datos!I19</f>
        <v/>
      </c>
      <c r="I25" s="121">
        <f>IF(Datos!E19&gt;=0.9,"🟢 EXCELENTE",IF(Datos!E19&gt;=0.7,"🟡 EN CAMINO",IF(Datos!E19&gt;=0.5,"🟠 ALERTA","🔴 CRÍTICO")))</f>
        <v/>
      </c>
    </row>
    <row r="26" ht="18" customHeight="1" s="137">
      <c r="B26" s="107" t="inlineStr">
        <is>
          <t>TOTAL COLOMBINA</t>
        </is>
      </c>
      <c r="C26" s="122">
        <f>Datos!C12+Datos!C13+Datos!C14+Datos!C15+Datos!C16+Datos!C17+Datos!C18+Datos!C19</f>
        <v/>
      </c>
      <c r="D26" s="109">
        <f>Datos!D12+Datos!D13+Datos!D14+Datos!D15+Datos!D16+Datos!D17+Datos!D18+Datos!D19</f>
        <v/>
      </c>
      <c r="E26" s="214">
        <f>D26/C26</f>
        <v/>
      </c>
      <c r="F26" s="122">
        <f>Datos!G12+Datos!G13+Datos!G14+Datos!G15+Datos!G16+Datos!G17+Datos!G18+Datos!G19</f>
        <v/>
      </c>
      <c r="G26" s="122">
        <f>Datos!F12+Datos!F13+Datos!F14+Datos!F15+Datos!F16+Datos!F17+Datos!F18+Datos!F19</f>
        <v/>
      </c>
      <c r="H26" s="155">
        <f>SUM(H18:H25)</f>
        <v/>
      </c>
      <c r="I26" s="214">
        <f>F26/G26</f>
        <v/>
      </c>
    </row>
    <row r="27" ht="7.5" customHeight="1" s="137"/>
    <row r="28" ht="18" customHeight="1" s="137">
      <c r="B28" s="158" t="inlineStr">
        <is>
          <t>ANÁLISIS DE GESTIÓN</t>
        </is>
      </c>
    </row>
    <row r="29" ht="15.75" customHeight="1" s="137">
      <c r="B29" s="156">
        <f>"▶ Venta del día en progreso: "&amp;TEXT((Datos!D12+Datos!D13+Datos!D14+Datos!D15+Datos!D16+Datos!D17+Datos!D18+Datos!D19)/(Datos!C12+Datos!C13+Datos!C14+Datos!C15+Datos!C16+Datos!C17+Datos!C18+Datos!C19),"0.0%")&amp;" del presupuesto."</f>
        <v/>
      </c>
    </row>
    <row r="30" ht="15.75" customHeight="1" s="137">
      <c r="B30" s="153">
        <f>IF(COUNTIF(Datos!H12:H19,"&gt;="&amp;1)=8,"✔ "&amp;8&amp;" de 8 asesores cumplen meta. Excedente de "&amp;ABS((Datos!G12+Datos!G13+Datos!G14+Datos!G15+Datos!G16+Datos!G17+Datos!G18+Datos!G19)-(Datos!F12+Datos!F13+Datos!F14+Datos!F15+Datos!F16+Datos!F17+Datos!F18+Datos!F19))&amp;" pedidos sobre el objetivo.","▶ "&amp;COUNTIF(Datos!H12:H19,"&gt;="&amp;1)&amp;" de 8 asesores cumplen meta. Pendiente cerrar "&amp;MAX(0,(Datos!F12+Datos!F13+Datos!F14+Datos!F15+Datos!F16+Datos!F17+Datos!F18+Datos!F19)-(Datos!G12+Datos!G13+Datos!G14+Datos!G15+Datos!G16+Datos!G17+Datos!G18+Datos!G19))&amp;" pedidos.")</f>
        <v/>
      </c>
    </row>
    <row r="31" ht="15.75" customHeight="1" s="137">
      <c r="B31" s="156">
        <f>"★ Mejor asesor: "&amp;IF(ISNUMBER(VALUE(LEFT(INDEX(Datos!B12:B19,MATCH(MAX(Datos!D12:D19),Datos!D12:D19,0)),4))),MID(INDEX(Datos!B12:B19,MATCH(MAX(Datos!D12:D19),Datos!D12:D19,0)),6,100),INDEX(Datos!B12:B19,MATCH(MAX(Datos!D12:D19),Datos!D12:D19,0)))&amp;" con "&amp;TEXT(MAX(Datos!D12:D19),"$#,##0")&amp;" y "&amp;INDEX(Datos!G12:G19,MATCH(MAX(Datos!D12:D19),Datos!D12:D19,0))&amp;" facturas."</f>
        <v/>
      </c>
    </row>
    <row r="32" ht="15.75" customHeight="1" s="137">
      <c r="B32" s="153">
        <f>"⚠ Asesor con menor venta: "&amp;IF(ISNUMBER(VALUE(LEFT(INDEX(Datos!B12:B19,MATCH(MIN(Datos!D12:D19),Datos!D12:D19,0)),4))),MID(INDEX(Datos!B12:B19,MATCH(MIN(Datos!D12:D19),Datos!D12:D19,0)),6,100),INDEX(Datos!B12:B19,MATCH(MIN(Datos!D12:D19),Datos!D12:D19,0)))&amp;" con "&amp;TEXT(MIN(Datos!D12:D19),"$#,##0")&amp;" ("&amp;TEXT(MIN(Datos!E12:E19),"0.0%")&amp;" del ppto)."</f>
        <v/>
      </c>
    </row>
  </sheetData>
  <mergeCells count="24">
    <mergeCell ref="F11:G11"/>
    <mergeCell ref="B16:I16"/>
    <mergeCell ref="B7:C9"/>
    <mergeCell ref="F6:G6"/>
    <mergeCell ref="B31:I31"/>
    <mergeCell ref="D6:E6"/>
    <mergeCell ref="F7:G9"/>
    <mergeCell ref="B12:C14"/>
    <mergeCell ref="H6:I6"/>
    <mergeCell ref="B11:C11"/>
    <mergeCell ref="D11:E11"/>
    <mergeCell ref="F12:G14"/>
    <mergeCell ref="B1:I3"/>
    <mergeCell ref="H11:I11"/>
    <mergeCell ref="B29:I29"/>
    <mergeCell ref="D7:E9"/>
    <mergeCell ref="B28:I28"/>
    <mergeCell ref="B6:C6"/>
    <mergeCell ref="H7:I9"/>
    <mergeCell ref="B30:I30"/>
    <mergeCell ref="D12:E14"/>
    <mergeCell ref="H12:I14"/>
    <mergeCell ref="B32:I32"/>
    <mergeCell ref="B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B1" sqref="B1:I26"/>
    </sheetView>
  </sheetViews>
  <sheetFormatPr baseColWidth="10" defaultColWidth="8.88671875" defaultRowHeight="14.4"/>
  <cols>
    <col width="3" customWidth="1" style="137" min="1" max="1"/>
    <col width="30" customWidth="1" style="137" min="2" max="2"/>
    <col width="16" customWidth="1" style="137" min="3" max="4"/>
    <col width="15" customWidth="1" style="137" min="5" max="5"/>
    <col width="13" customWidth="1" style="137" min="6" max="6"/>
    <col width="12" customWidth="1" style="137" min="7" max="7"/>
    <col width="14" customWidth="1" style="137" min="8" max="8"/>
    <col width="13" customWidth="1" style="137" min="9" max="9"/>
    <col width="3" customWidth="1" style="137" min="10" max="10"/>
  </cols>
  <sheetData>
    <row r="1" ht="12" customHeight="1" s="137">
      <c r="B1" s="154" t="inlineStr">
        <is>
          <t>UNIDAD DE NEGOCIO — TECNOQUIMICAS</t>
        </is>
      </c>
    </row>
    <row r="2" ht="21.75" customHeight="1" s="137"/>
    <row r="3" ht="12" customHeight="1" s="137"/>
    <row r="4" ht="18" customHeight="1" s="137">
      <c r="B4" s="152" t="inlineStr">
        <is>
          <t>Corte: MARZO 2025  |  Asesores: 8  |  Informe automático</t>
        </is>
      </c>
    </row>
    <row r="5" ht="7.5" customHeight="1" s="137"/>
    <row r="6" ht="18" customHeight="1" s="137">
      <c r="B6" s="166" t="inlineStr">
        <is>
          <t>VENTA DÍA</t>
        </is>
      </c>
      <c r="D6" s="155" t="inlineStr">
        <is>
          <t>PRESUPUESTO DÍA</t>
        </is>
      </c>
      <c r="F6" s="166" t="inlineStr">
        <is>
          <t>% CUMPL. PPTO</t>
        </is>
      </c>
      <c r="H6" s="169" t="inlineStr">
        <is>
          <t>% CUMPL. PLAN</t>
        </is>
      </c>
    </row>
    <row r="7" ht="18" customHeight="1" s="137">
      <c r="B7" s="167">
        <f>TEXT((Datos!D28+Datos!D29+Datos!D30+Datos!D31+Datos!D32+Datos!D33+Datos!D34+Datos!D35)/1000000,"$#,##0.00")&amp;"M"</f>
        <v/>
      </c>
      <c r="D7" s="157">
        <f>TEXT((Datos!C28+Datos!C29+Datos!C30+Datos!C31+Datos!C32+Datos!C33+Datos!C34+Datos!C35)/1000000,"$#,##0.00")&amp;"M"</f>
        <v/>
      </c>
      <c r="F7" s="167">
        <f>TEXT((Datos!D28+Datos!D29+Datos!D30+Datos!D31+Datos!D32+Datos!D33+Datos!D34+Datos!D35)/(Datos!C28+Datos!C29+Datos!C30+Datos!C31+Datos!C32+Datos!C33+Datos!C34+Datos!C35),"0.0%")</f>
        <v/>
      </c>
      <c r="H7" s="160">
        <f>TEXT((Datos!G28+Datos!G29+Datos!G30+Datos!G31+Datos!G32+Datos!G33+Datos!G34+Datos!G35)/(Datos!F28+Datos!F29+Datos!F30+Datos!F31+Datos!F32+Datos!F33+Datos!F34+Datos!F35),"0.0%")</f>
        <v/>
      </c>
    </row>
    <row r="8" ht="18" customHeight="1" s="137"/>
    <row r="9" ht="18" customHeight="1" s="137"/>
    <row r="10" ht="7.5" customHeight="1" s="137"/>
    <row r="11" ht="18" customHeight="1" s="137">
      <c r="B11" s="170" t="inlineStr">
        <is>
          <t>FACTURAS / OBJETIVO</t>
        </is>
      </c>
      <c r="D11" s="166" t="inlineStr">
        <is>
          <t>CUMPLEN META PLAN</t>
        </is>
      </c>
      <c r="F11" s="178" t="inlineStr">
        <is>
          <t>MEJOR ASESOR</t>
        </is>
      </c>
      <c r="H11" s="155" t="inlineStr">
        <is>
          <t>PEDIDOS FALTANTES</t>
        </is>
      </c>
    </row>
    <row r="12" ht="18" customHeight="1" s="137">
      <c r="B12" s="168">
        <f>TEXT(Datos!G28+Datos!G29+Datos!G30+Datos!G31+Datos!G32+Datos!G33+Datos!G34+Datos!G35,"0")&amp;" / "&amp;TEXT(Datos!F28+Datos!F29+Datos!F30+Datos!F31+Datos!F32+Datos!F33+Datos!F34+Datos!F35,"0")</f>
        <v/>
      </c>
      <c r="D12" s="161">
        <f>TEXT(COUNTIF(Datos!H28:H35,"&gt;="&amp;1),"0")&amp;" / "&amp;"8"</f>
        <v/>
      </c>
      <c r="F12" s="161">
        <f>IF(ISNUMBER(VALUE(LEFT(INDEX(Datos!B28:B35,MATCH(MAX(Datos!D28:D35),Datos!D28:D35,0)),4))),MID(INDEX(Datos!B28:B35,MATCH(MAX(Datos!D28:D35),Datos!D28:D35,0)),6,100),INDEX(Datos!B28:B35,MATCH(MAX(Datos!D28:D35),Datos!D28:D35,0)))</f>
        <v/>
      </c>
      <c r="H12" s="162">
        <f>TEXT(ABS(Datos!F28+Datos!F29+Datos!F30+Datos!F31+Datos!F32+Datos!F33+Datos!F34+Datos!F35-Datos!G28+Datos!G29+Datos!G30+Datos!G31+Datos!G32+Datos!G33+Datos!G34+Datos!G35),"0")&amp;IF(Datos!G28+Datos!G29+Datos!G30+Datos!G31+Datos!G32+Datos!G33+Datos!G34+Datos!G35&gt;=Datos!F28+Datos!F29+Datos!F30+Datos!F31+Datos!F32+Datos!F33+Datos!F34+Datos!F35," excedente"," pedidos")</f>
        <v/>
      </c>
    </row>
    <row r="13" ht="18" customHeight="1" s="137"/>
    <row r="14" ht="18" customHeight="1" s="137"/>
    <row r="15" ht="7.5" customHeight="1" s="137"/>
    <row r="16" ht="19.5" customHeight="1" s="137">
      <c r="B16" s="179" t="inlineStr">
        <is>
          <t>DETALLE DE ASESORES — TECNOQUIMICAS</t>
        </is>
      </c>
    </row>
    <row r="17" ht="19.5" customHeight="1" s="137">
      <c r="B17" s="159" t="inlineStr">
        <is>
          <t>Asesor Comercial</t>
        </is>
      </c>
      <c r="C17" s="159" t="inlineStr">
        <is>
          <t>Ppto Día ($)</t>
        </is>
      </c>
      <c r="D17" s="159" t="inlineStr">
        <is>
          <t>Venta Día ($)</t>
        </is>
      </c>
      <c r="E17" s="159" t="inlineStr">
        <is>
          <t>% Cumpl. Ppto</t>
        </is>
      </c>
      <c r="F17" s="159" t="inlineStr">
        <is>
          <t># Facturas</t>
        </is>
      </c>
      <c r="G17" s="159" t="inlineStr">
        <is>
          <t>Obj. Plan</t>
        </is>
      </c>
      <c r="H17" s="159" t="inlineStr">
        <is>
          <t>Faltante</t>
        </is>
      </c>
      <c r="I17" s="159" t="inlineStr">
        <is>
          <t>Estado Plan</t>
        </is>
      </c>
    </row>
    <row r="18" ht="15.75" customHeight="1" s="137">
      <c r="B18" s="97">
        <f>IF(ISNUMBER(VALUE(LEFT(Datos!B28,4))),MID(Datos!B28,6,100),Datos!B28)</f>
        <v/>
      </c>
      <c r="C18" s="98">
        <f>Datos!C28</f>
        <v/>
      </c>
      <c r="D18" s="99">
        <f>Datos!D28</f>
        <v/>
      </c>
      <c r="E18" s="212">
        <f>Datos!E28</f>
        <v/>
      </c>
      <c r="F18" s="101">
        <f>Datos!G28</f>
        <v/>
      </c>
      <c r="G18" s="101">
        <f>Datos!F28</f>
        <v/>
      </c>
      <c r="H18" s="101">
        <f>Datos!I28</f>
        <v/>
      </c>
      <c r="I18" s="120">
        <f>IF(Datos!E28&gt;=0.9,"🟢 EXCELENTE",IF(Datos!E28&gt;=0.7,"🟡 EN CAMINO",IF(Datos!E28&gt;=0.5,"🟠 ALERTA","🔴 CRÍTICO")))</f>
        <v/>
      </c>
    </row>
    <row r="19" ht="15.75" customHeight="1" s="137">
      <c r="B19" s="102">
        <f>IF(ISNUMBER(VALUE(LEFT(Datos!B29,4))),MID(Datos!B29,6,100),Datos!B29)</f>
        <v/>
      </c>
      <c r="C19" s="103">
        <f>Datos!C29</f>
        <v/>
      </c>
      <c r="D19" s="104">
        <f>Datos!D29</f>
        <v/>
      </c>
      <c r="E19" s="213">
        <f>Datos!E29</f>
        <v/>
      </c>
      <c r="F19" s="106">
        <f>Datos!G29</f>
        <v/>
      </c>
      <c r="G19" s="106">
        <f>Datos!F29</f>
        <v/>
      </c>
      <c r="H19" s="106">
        <f>Datos!I29</f>
        <v/>
      </c>
      <c r="I19" s="121">
        <f>IF(Datos!E29&gt;=0.9,"🟢 EXCELENTE",IF(Datos!E29&gt;=0.7,"🟡 EN CAMINO",IF(Datos!E29&gt;=0.5,"🟠 ALERTA","🔴 CRÍTICO")))</f>
        <v/>
      </c>
    </row>
    <row r="20" ht="15.75" customHeight="1" s="137">
      <c r="B20" s="97">
        <f>IF(ISNUMBER(VALUE(LEFT(Datos!B30,4))),MID(Datos!B30,6,100),Datos!B30)</f>
        <v/>
      </c>
      <c r="C20" s="98">
        <f>Datos!C30</f>
        <v/>
      </c>
      <c r="D20" s="99">
        <f>Datos!D30</f>
        <v/>
      </c>
      <c r="E20" s="212">
        <f>Datos!E30</f>
        <v/>
      </c>
      <c r="F20" s="101">
        <f>Datos!G30</f>
        <v/>
      </c>
      <c r="G20" s="101">
        <f>Datos!F30</f>
        <v/>
      </c>
      <c r="H20" s="101">
        <f>Datos!I30</f>
        <v/>
      </c>
      <c r="I20" s="120">
        <f>IF(Datos!E30&gt;=0.9,"🟢 EXCELENTE",IF(Datos!E30&gt;=0.7,"🟡 EN CAMINO",IF(Datos!E30&gt;=0.5,"🟠 ALERTA","🔴 CRÍTICO")))</f>
        <v/>
      </c>
    </row>
    <row r="21" ht="15.75" customHeight="1" s="137">
      <c r="B21" s="102">
        <f>IF(ISNUMBER(VALUE(LEFT(Datos!B31,4))),MID(Datos!B31,6,100),Datos!B31)</f>
        <v/>
      </c>
      <c r="C21" s="103">
        <f>Datos!C31</f>
        <v/>
      </c>
      <c r="D21" s="104">
        <f>Datos!D31</f>
        <v/>
      </c>
      <c r="E21" s="213">
        <f>Datos!E31</f>
        <v/>
      </c>
      <c r="F21" s="106">
        <f>Datos!G31</f>
        <v/>
      </c>
      <c r="G21" s="106">
        <f>Datos!F31</f>
        <v/>
      </c>
      <c r="H21" s="106">
        <f>Datos!I31</f>
        <v/>
      </c>
      <c r="I21" s="121">
        <f>IF(Datos!E31&gt;=0.9,"🟢 EXCELENTE",IF(Datos!E31&gt;=0.7,"🟡 EN CAMINO",IF(Datos!E31&gt;=0.5,"🟠 ALERTA","🔴 CRÍTICO")))</f>
        <v/>
      </c>
    </row>
    <row r="22" ht="15.75" customHeight="1" s="137">
      <c r="B22" s="97">
        <f>IF(ISNUMBER(VALUE(LEFT(Datos!B32,4))),MID(Datos!B32,6,100),Datos!B32)</f>
        <v/>
      </c>
      <c r="C22" s="98">
        <f>Datos!C32</f>
        <v/>
      </c>
      <c r="D22" s="99">
        <f>Datos!D32</f>
        <v/>
      </c>
      <c r="E22" s="212">
        <f>Datos!E32</f>
        <v/>
      </c>
      <c r="F22" s="101">
        <f>Datos!G32</f>
        <v/>
      </c>
      <c r="G22" s="101">
        <f>Datos!F32</f>
        <v/>
      </c>
      <c r="H22" s="101">
        <f>Datos!I32</f>
        <v/>
      </c>
      <c r="I22" s="120">
        <f>IF(Datos!E32&gt;=0.9,"🟢 EXCELENTE",IF(Datos!E32&gt;=0.7,"🟡 EN CAMINO",IF(Datos!E32&gt;=0.5,"🟠 ALERTA","🔴 CRÍTICO")))</f>
        <v/>
      </c>
    </row>
    <row r="23" ht="15.75" customHeight="1" s="137">
      <c r="B23" s="102">
        <f>IF(ISNUMBER(VALUE(LEFT(Datos!B33,4))),MID(Datos!B33,6,100),Datos!B33)</f>
        <v/>
      </c>
      <c r="C23" s="103">
        <f>Datos!C33</f>
        <v/>
      </c>
      <c r="D23" s="104">
        <f>Datos!D33</f>
        <v/>
      </c>
      <c r="E23" s="213">
        <f>Datos!E33</f>
        <v/>
      </c>
      <c r="F23" s="106">
        <f>Datos!G33</f>
        <v/>
      </c>
      <c r="G23" s="106">
        <f>Datos!F33</f>
        <v/>
      </c>
      <c r="H23" s="106">
        <f>Datos!I33</f>
        <v/>
      </c>
      <c r="I23" s="121">
        <f>IF(Datos!E33&gt;=0.9,"🟢 EXCELENTE",IF(Datos!E33&gt;=0.7,"🟡 EN CAMINO",IF(Datos!E33&gt;=0.5,"🟠 ALERTA","🔴 CRÍTICO")))</f>
        <v/>
      </c>
    </row>
    <row r="24" ht="15.75" customHeight="1" s="137">
      <c r="B24" s="97">
        <f>IF(ISNUMBER(VALUE(LEFT(Datos!B34,4))),MID(Datos!B34,6,100),Datos!B34)</f>
        <v/>
      </c>
      <c r="C24" s="98">
        <f>Datos!C34</f>
        <v/>
      </c>
      <c r="D24" s="99">
        <f>Datos!D34</f>
        <v/>
      </c>
      <c r="E24" s="212">
        <f>Datos!E34</f>
        <v/>
      </c>
      <c r="F24" s="101">
        <f>Datos!G34</f>
        <v/>
      </c>
      <c r="G24" s="101">
        <f>Datos!F34</f>
        <v/>
      </c>
      <c r="H24" s="101">
        <f>Datos!I34</f>
        <v/>
      </c>
      <c r="I24" s="120">
        <f>IF(Datos!E34&gt;=0.9,"🟢 EXCELENTE",IF(Datos!E34&gt;=0.7,"🟡 EN CAMINO",IF(Datos!E34&gt;=0.5,"🟠 ALERTA","🔴 CRÍTICO")))</f>
        <v/>
      </c>
    </row>
    <row r="25" ht="15.75" customHeight="1" s="137">
      <c r="B25" s="102">
        <f>IF(ISNUMBER(VALUE(LEFT(Datos!B35,4))),MID(Datos!B35,6,100),Datos!B35)</f>
        <v/>
      </c>
      <c r="C25" s="103">
        <f>Datos!C35</f>
        <v/>
      </c>
      <c r="D25" s="104">
        <f>Datos!D35</f>
        <v/>
      </c>
      <c r="E25" s="213">
        <f>Datos!E35</f>
        <v/>
      </c>
      <c r="F25" s="106">
        <f>Datos!G35</f>
        <v/>
      </c>
      <c r="G25" s="106">
        <f>Datos!F35</f>
        <v/>
      </c>
      <c r="H25" s="106">
        <f>Datos!I35</f>
        <v/>
      </c>
      <c r="I25" s="121">
        <f>IF(Datos!E35&gt;=0.9,"🟢 EXCELENTE",IF(Datos!E35&gt;=0.7,"🟡 EN CAMINO",IF(Datos!E35&gt;=0.5,"🟠 ALERTA","🔴 CRÍTICO")))</f>
        <v/>
      </c>
    </row>
    <row r="26" ht="18" customHeight="1" s="137">
      <c r="B26" s="107" t="inlineStr">
        <is>
          <t>TOTAL TECNOQUIMICAS</t>
        </is>
      </c>
      <c r="C26" s="122">
        <f>Datos!C28+Datos!C29+Datos!C30+Datos!C31+Datos!C32+Datos!C33+Datos!C34+Datos!C35</f>
        <v/>
      </c>
      <c r="D26" s="109">
        <f>Datos!D28+Datos!D29+Datos!D30+Datos!D31+Datos!D32+Datos!D33+Datos!D34+Datos!D35</f>
        <v/>
      </c>
      <c r="E26" s="214">
        <f>D26/C26</f>
        <v/>
      </c>
      <c r="F26" s="122">
        <f>Datos!G28+Datos!G29+Datos!G30+Datos!G31+Datos!G32+Datos!G33+Datos!G34+Datos!G35</f>
        <v/>
      </c>
      <c r="G26" s="122">
        <f>Datos!F28+Datos!F29+Datos!F30+Datos!F31+Datos!F32+Datos!F33+Datos!F34+Datos!F35</f>
        <v/>
      </c>
      <c r="H26" s="155">
        <f>SUM(H18:H25)</f>
        <v/>
      </c>
      <c r="I26" s="214">
        <f>F26/G26</f>
        <v/>
      </c>
    </row>
    <row r="27" ht="7.5" customHeight="1" s="137"/>
    <row r="28" ht="18" customHeight="1" s="137">
      <c r="B28" s="158" t="inlineStr">
        <is>
          <t>ANÁLISIS DE GESTIÓN</t>
        </is>
      </c>
    </row>
    <row r="29" ht="15.75" customHeight="1" s="137">
      <c r="B29" s="156">
        <f>"▶ Venta del día en progreso: "&amp;TEXT((Datos!D28+Datos!D29+Datos!D30+Datos!D31+Datos!D32+Datos!D33+Datos!D34+Datos!D35)/(Datos!C28+Datos!C29+Datos!C30+Datos!C31+Datos!C32+Datos!C33+Datos!C34+Datos!C35),"0.0%")&amp;" del presupuesto."</f>
        <v/>
      </c>
    </row>
    <row r="30" ht="15.75" customHeight="1" s="137">
      <c r="B30" s="153">
        <f>IF(COUNTIF(Datos!H28:H35,"&gt;="&amp;1)=8,"✔ "&amp;8&amp;" de 8 asesores cumplen meta. Excedente de "&amp;ABS((Datos!G28+Datos!G29+Datos!G30+Datos!G31+Datos!G32+Datos!G33+Datos!G34+Datos!G35)-(Datos!F28+Datos!F29+Datos!F30+Datos!F31+Datos!F32+Datos!F33+Datos!F34+Datos!F35))&amp;" pedidos sobre el objetivo.","▶ "&amp;COUNTIF(Datos!H28:H35,"&gt;="&amp;1)&amp;" de 8 asesores cumplen meta. Pendiente cerrar "&amp;MAX(0,(Datos!F28+Datos!F29+Datos!F30+Datos!F31+Datos!F32+Datos!F33+Datos!F34+Datos!F35)-(Datos!G28+Datos!G29+Datos!G30+Datos!G31+Datos!G32+Datos!G33+Datos!G34+Datos!G35))&amp;" pedidos.")</f>
        <v/>
      </c>
    </row>
    <row r="31" ht="15.75" customHeight="1" s="137">
      <c r="B31" s="156">
        <f>"★ Mejor asesor: "&amp;IF(ISNUMBER(VALUE(LEFT(INDEX(Datos!B28:B35,MATCH(MAX(Datos!D28:D35),Datos!D28:D35,0)),4))),MID(INDEX(Datos!B28:B35,MATCH(MAX(Datos!D28:D35),Datos!D28:D35,0)),6,100),INDEX(Datos!B28:B35,MATCH(MAX(Datos!D28:D35),Datos!D28:D35,0)))&amp;" con "&amp;TEXT(MAX(Datos!D28:D35),"$#,##0")&amp;" y "&amp;INDEX(Datos!G28:G35,MATCH(MAX(Datos!D28:D35),Datos!D28:D35,0))&amp;" facturas."</f>
        <v/>
      </c>
    </row>
    <row r="32" ht="15.75" customHeight="1" s="137">
      <c r="B32" s="153">
        <f>"⚠ Asesor con menor venta: "&amp;IF(ISNUMBER(VALUE(LEFT(INDEX(Datos!B28:B35,MATCH(MIN(Datos!D28:D35),Datos!D28:D35,0)),4))),MID(INDEX(Datos!B28:B35,MATCH(MIN(Datos!D28:D35),Datos!D28:D35,0)),6,100),INDEX(Datos!B28:B35,MATCH(MIN(Datos!D28:D35),Datos!D28:D35,0)))&amp;" con "&amp;TEXT(MIN(Datos!D28:D35),"$#,##0")&amp;" ("&amp;TEXT(MIN(Datos!E28:E35),"0.0%")&amp;" del ppto)."</f>
        <v/>
      </c>
    </row>
  </sheetData>
  <mergeCells count="24">
    <mergeCell ref="F11:G11"/>
    <mergeCell ref="B16:I16"/>
    <mergeCell ref="B7:C9"/>
    <mergeCell ref="F6:G6"/>
    <mergeCell ref="B31:I31"/>
    <mergeCell ref="D6:E6"/>
    <mergeCell ref="F7:G9"/>
    <mergeCell ref="B12:C14"/>
    <mergeCell ref="H6:I6"/>
    <mergeCell ref="B11:C11"/>
    <mergeCell ref="D11:E11"/>
    <mergeCell ref="F12:G14"/>
    <mergeCell ref="B1:I3"/>
    <mergeCell ref="H11:I11"/>
    <mergeCell ref="B29:I29"/>
    <mergeCell ref="D7:E9"/>
    <mergeCell ref="B28:I28"/>
    <mergeCell ref="B6:C6"/>
    <mergeCell ref="H7:I9"/>
    <mergeCell ref="B30:I30"/>
    <mergeCell ref="D12:E14"/>
    <mergeCell ref="H12:I14"/>
    <mergeCell ref="B32:I32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I26"/>
  <sheetViews>
    <sheetView workbookViewId="0">
      <selection activeCell="B1" sqref="B1:I19"/>
    </sheetView>
  </sheetViews>
  <sheetFormatPr baseColWidth="10" defaultColWidth="8.88671875" defaultRowHeight="14.4"/>
  <cols>
    <col width="3" customWidth="1" style="137" min="1" max="1"/>
    <col width="30" customWidth="1" style="137" min="2" max="2"/>
    <col width="16" customWidth="1" style="137" min="3" max="4"/>
    <col width="15" customWidth="1" style="137" min="5" max="5"/>
    <col width="13" customWidth="1" style="137" min="6" max="6"/>
    <col width="12" customWidth="1" style="137" min="7" max="7"/>
    <col width="14" customWidth="1" style="137" min="8" max="8"/>
    <col width="13" customWidth="1" style="137" min="9" max="9"/>
    <col width="3" customWidth="1" style="137" min="10" max="10"/>
  </cols>
  <sheetData>
    <row r="1" ht="12" customHeight="1" s="137">
      <c r="B1" s="154" t="inlineStr">
        <is>
          <t>UNIDAD DE NEGOCIO — CLIENTES ESPECIALES</t>
        </is>
      </c>
    </row>
    <row r="2" ht="21.75" customHeight="1" s="137"/>
    <row r="3" ht="12" customHeight="1" s="137"/>
    <row r="4" ht="18" customHeight="1" s="137">
      <c r="B4" s="152" t="inlineStr">
        <is>
          <t>Corte: MARZO 2025  |  Asesores: 2  |  Informe automático</t>
        </is>
      </c>
    </row>
    <row r="5" ht="7.5" customHeight="1" s="137"/>
    <row r="6" ht="18" customHeight="1" s="137">
      <c r="B6" s="155" t="inlineStr">
        <is>
          <t>VENTA DÍA</t>
        </is>
      </c>
      <c r="D6" s="155" t="inlineStr">
        <is>
          <t>PRESUPUESTO DÍA</t>
        </is>
      </c>
      <c r="F6" s="166" t="inlineStr">
        <is>
          <t>% CUMPL. PPTO</t>
        </is>
      </c>
      <c r="H6" s="169" t="inlineStr">
        <is>
          <t>% CUMPL. PLAN</t>
        </is>
      </c>
    </row>
    <row r="7" ht="18" customHeight="1" s="137">
      <c r="B7" s="157">
        <f>TEXT((Datos!D36+Datos!#REF!)/1000000,"$#,##0.00")&amp;"M"</f>
        <v/>
      </c>
      <c r="D7" s="157">
        <f>TEXT((Datos!C36+Datos!#REF!)/1000000,"$#,##0.00")&amp;"M"</f>
        <v/>
      </c>
      <c r="F7" s="167">
        <f>TEXT((Datos!D36+Datos!#REF!)/(Datos!C36+Datos!#REF!),"0.0%")</f>
        <v/>
      </c>
      <c r="H7" s="160">
        <f>TEXT((Datos!G36+Datos!#REF!)/(Datos!F36+Datos!#REF!),"0.0%")</f>
        <v/>
      </c>
    </row>
    <row r="8" ht="18" customHeight="1" s="137"/>
    <row r="9" ht="18" customHeight="1" s="137"/>
    <row r="10" ht="7.5" customHeight="1" s="137"/>
    <row r="11" ht="18" customHeight="1" s="137">
      <c r="B11" s="170" t="inlineStr">
        <is>
          <t>FACTURAS / OBJETIVO</t>
        </is>
      </c>
      <c r="D11" s="166" t="inlineStr">
        <is>
          <t>CUMPLEN META PLAN</t>
        </is>
      </c>
      <c r="F11" s="180" t="inlineStr">
        <is>
          <t>MEJOR ASESOR</t>
        </is>
      </c>
      <c r="H11" s="155" t="inlineStr">
        <is>
          <t>PEDIDOS FALTANTES</t>
        </is>
      </c>
    </row>
    <row r="12" ht="18" customHeight="1" s="137">
      <c r="B12" s="168">
        <f>TEXT(Datos!G36+Datos!#REF!,"0")&amp;" / "&amp;TEXT(Datos!F36+Datos!#REF!,"0")</f>
        <v/>
      </c>
      <c r="D12" s="161">
        <f>TEXT(COUNTIF(Datos!H36:H36,"&gt;="&amp;1),"0")&amp;" / "&amp;"2"</f>
        <v/>
      </c>
      <c r="F12" s="182">
        <f>IF(ISNUMBER(VALUE(LEFT(INDEX(Datos!B36:B36,MATCH(MAX(Datos!D36:D36),Datos!D36:D36,0)),4))),MID(INDEX(Datos!B36:B36,MATCH(MAX(Datos!D36:D36),Datos!D36:D36,0)),6,100),INDEX(Datos!B36:B36,MATCH(MAX(Datos!D36:D36),Datos!D36:D36,0)))</f>
        <v/>
      </c>
      <c r="H12" s="162">
        <f>TEXT(ABS(Datos!F36+Datos!#REF!-Datos!G36+Datos!#REF!),"0")&amp;IF(Datos!G36+Datos!#REF!&gt;=Datos!F36+Datos!#REF!," excedente"," pedidos")</f>
        <v/>
      </c>
    </row>
    <row r="13" ht="18" customHeight="1" s="137"/>
    <row r="14" ht="18" customHeight="1" s="137"/>
    <row r="15" ht="7.5" customHeight="1" s="137"/>
    <row r="16" ht="19.5" customHeight="1" s="137">
      <c r="B16" s="181" t="inlineStr">
        <is>
          <t>DETALLE DE ASESORES — CLIENTES ESPECIALES</t>
        </is>
      </c>
    </row>
    <row r="17" ht="19.5" customHeight="1" s="137">
      <c r="B17" s="159" t="inlineStr">
        <is>
          <t>Asesor Comercial</t>
        </is>
      </c>
      <c r="C17" s="159" t="inlineStr">
        <is>
          <t>Ppto Día ($)</t>
        </is>
      </c>
      <c r="D17" s="159" t="inlineStr">
        <is>
          <t>Venta Día ($)</t>
        </is>
      </c>
      <c r="E17" s="159" t="inlineStr">
        <is>
          <t>% Cumpl. Ppto</t>
        </is>
      </c>
      <c r="F17" s="159" t="inlineStr">
        <is>
          <t># Facturas</t>
        </is>
      </c>
      <c r="G17" s="159" t="inlineStr">
        <is>
          <t>Obj. Plan</t>
        </is>
      </c>
      <c r="H17" s="159" t="inlineStr">
        <is>
          <t>Faltante</t>
        </is>
      </c>
      <c r="I17" s="159" t="inlineStr">
        <is>
          <t>Estado Plan</t>
        </is>
      </c>
    </row>
    <row r="18" ht="15.75" customHeight="1" s="137">
      <c r="B18" s="97">
        <f>IF(ISNUMBER(VALUE(LEFT(Datos!B36,4))),MID(Datos!B36,6,100),Datos!B36)</f>
        <v/>
      </c>
      <c r="C18" s="98">
        <f>Datos!C36</f>
        <v/>
      </c>
      <c r="D18" s="99">
        <f>Datos!D36</f>
        <v/>
      </c>
      <c r="E18" s="212">
        <f>Datos!E36</f>
        <v/>
      </c>
      <c r="F18" s="101">
        <f>Datos!G36</f>
        <v/>
      </c>
      <c r="G18" s="101">
        <f>Datos!F36</f>
        <v/>
      </c>
      <c r="H18" s="101">
        <f>Datos!I36</f>
        <v/>
      </c>
      <c r="I18" s="120">
        <f>IF(Datos!E36&gt;=0.9,"🟢 EXCELENTE",IF(Datos!E36&gt;=0.7,"🟡 EN CAMINO",IF(Datos!E36&gt;=0.5,"🟠 ALERTA","🔴 CRÍTICO")))</f>
        <v/>
      </c>
    </row>
    <row r="19" ht="15.75" customHeight="1" s="137">
      <c r="B19" s="102">
        <f>IF(ISNUMBER(VALUE(LEFT(Datos!#REF!,4))),MID(Datos!#REF!,6,100),Datos!#REF!)</f>
        <v/>
      </c>
      <c r="C19" s="103">
        <f>Datos!#REF!</f>
        <v/>
      </c>
      <c r="D19" s="104">
        <f>Datos!#REF!</f>
        <v/>
      </c>
      <c r="E19" s="213">
        <f>Datos!#REF!</f>
        <v/>
      </c>
      <c r="F19" s="106">
        <f>Datos!#REF!</f>
        <v/>
      </c>
      <c r="G19" s="106">
        <f>Datos!#REF!</f>
        <v/>
      </c>
      <c r="H19" s="106">
        <f>Datos!#REF!</f>
        <v/>
      </c>
      <c r="I19" s="121">
        <f>IF(Datos!#REF!&gt;=0.9,"🟢 EXCELENTE",IF(Datos!#REF!&gt;=0.7,"🟡 EN CAMINO",IF(Datos!#REF!&gt;=0.5,"🟠 ALERTA","🔴 CRÍTICO")))</f>
        <v/>
      </c>
    </row>
    <row r="20" ht="18" customHeight="1" s="137">
      <c r="B20" s="107" t="inlineStr">
        <is>
          <t>TOTAL CLIENTES ESPECIALES</t>
        </is>
      </c>
      <c r="C20" s="122">
        <f>Datos!C36+Datos!#REF!</f>
        <v/>
      </c>
      <c r="D20" s="109">
        <f>Datos!D36+Datos!#REF!</f>
        <v/>
      </c>
      <c r="E20" s="214">
        <f>D20/C20</f>
        <v/>
      </c>
      <c r="F20" s="122">
        <f>Datos!G36+Datos!#REF!</f>
        <v/>
      </c>
      <c r="G20" s="122">
        <f>Datos!F36+Datos!#REF!</f>
        <v/>
      </c>
      <c r="H20" s="155">
        <f>SUM(H18:H19)</f>
        <v/>
      </c>
      <c r="I20" s="214">
        <f>F20/G20</f>
        <v/>
      </c>
    </row>
    <row r="21" ht="7.5" customHeight="1" s="137"/>
    <row r="22" ht="18" customHeight="1" s="137">
      <c r="B22" s="158" t="inlineStr">
        <is>
          <t>ANÁLISIS DE GESTIÓN</t>
        </is>
      </c>
    </row>
    <row r="23" ht="15.75" customHeight="1" s="137">
      <c r="B23" s="156">
        <f>"▶ Venta del día en progreso: "&amp;TEXT((Datos!D36+Datos!#REF!)/(Datos!C36+Datos!#REF!),"0.0%")&amp;" del presupuesto."</f>
        <v/>
      </c>
    </row>
    <row r="24" ht="15.75" customHeight="1" s="137">
      <c r="B24" s="153">
        <f>IF(COUNTIF(Datos!H36:H36,"&gt;="&amp;1)=2,"✔ "&amp;2&amp;" de 2 asesores cumplen meta. Excedente de "&amp;ABS((Datos!G36+Datos!#REF!)-(Datos!F36+Datos!#REF!))&amp;" pedidos sobre el objetivo.","▶ "&amp;COUNTIF(Datos!H36:H36,"&gt;="&amp;1)&amp;" de 2 asesores cumplen meta. Pendiente cerrar "&amp;MAX(0,(Datos!F36+Datos!#REF!)-(Datos!G36+Datos!#REF!))&amp;" pedidos.")</f>
        <v/>
      </c>
    </row>
    <row r="25" ht="15.75" customHeight="1" s="137">
      <c r="B25" s="156">
        <f>"★ Mejor asesor: "&amp;IF(ISNUMBER(VALUE(LEFT(INDEX(Datos!B36:B36,MATCH(MAX(Datos!D36:D36),Datos!D36:D36,0)),4))),MID(INDEX(Datos!B36:B36,MATCH(MAX(Datos!D36:D36),Datos!D36:D36,0)),6,100),INDEX(Datos!B36:B36,MATCH(MAX(Datos!D36:D36),Datos!D36:D36,0)))&amp;" con "&amp;TEXT(MAX(Datos!D36:D36),"$#,##0")&amp;" y "&amp;INDEX(Datos!G36:G36,MATCH(MAX(Datos!D36:D36),Datos!D36:D36,0))&amp;" facturas."</f>
        <v/>
      </c>
    </row>
    <row r="26" ht="15.75" customHeight="1" s="137">
      <c r="B26" s="153">
        <f>"⚠ Asesor con menor venta: "&amp;IF(ISNUMBER(VALUE(LEFT(INDEX(Datos!B36:B36,MATCH(MIN(Datos!D36:D36),Datos!D36:D36,0)),4))),MID(INDEX(Datos!B36:B36,MATCH(MIN(Datos!D36:D36),Datos!D36:D36,0)),6,100),INDEX(Datos!B36:B36,MATCH(MIN(Datos!D36:D36),Datos!D36:D36,0)))&amp;" con "&amp;TEXT(MIN(Datos!D36:D36),"$#,##0")&amp;" ("&amp;TEXT(MIN(Datos!E36:E36),"0.0%")&amp;" del ppto)."</f>
        <v/>
      </c>
    </row>
  </sheetData>
  <mergeCells count="24">
    <mergeCell ref="F11:G11"/>
    <mergeCell ref="B25:I25"/>
    <mergeCell ref="B16:I16"/>
    <mergeCell ref="B7:C9"/>
    <mergeCell ref="F6:G6"/>
    <mergeCell ref="B22:I22"/>
    <mergeCell ref="D6:E6"/>
    <mergeCell ref="F7:G9"/>
    <mergeCell ref="B12:C14"/>
    <mergeCell ref="H6:I6"/>
    <mergeCell ref="B11:C11"/>
    <mergeCell ref="D11:E11"/>
    <mergeCell ref="B23:I23"/>
    <mergeCell ref="F12:G14"/>
    <mergeCell ref="B1:I3"/>
    <mergeCell ref="H11:I11"/>
    <mergeCell ref="D7:E9"/>
    <mergeCell ref="B6:C6"/>
    <mergeCell ref="D12:E14"/>
    <mergeCell ref="H7:I9"/>
    <mergeCell ref="B24:I24"/>
    <mergeCell ref="H12:I14"/>
    <mergeCell ref="B4:I4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I32"/>
  <sheetViews>
    <sheetView topLeftCell="A3" workbookViewId="0">
      <selection activeCell="B1" sqref="B1:I27"/>
    </sheetView>
  </sheetViews>
  <sheetFormatPr baseColWidth="10" defaultColWidth="8.88671875" defaultRowHeight="14.4"/>
  <cols>
    <col width="3" customWidth="1" style="137" min="1" max="1"/>
    <col width="30" customWidth="1" style="137" min="2" max="2"/>
    <col width="16" customWidth="1" style="137" min="3" max="4"/>
    <col width="15" customWidth="1" style="137" min="5" max="5"/>
    <col width="13" customWidth="1" style="137" min="6" max="6"/>
    <col width="12" customWidth="1" style="137" min="7" max="7"/>
    <col width="14" customWidth="1" style="137" min="8" max="8"/>
    <col width="13" customWidth="1" style="137" min="9" max="9"/>
    <col width="3" customWidth="1" style="137" min="10" max="10"/>
  </cols>
  <sheetData>
    <row r="1" ht="12" customHeight="1" s="137">
      <c r="B1" s="154" t="inlineStr">
        <is>
          <t>UNIDAD DE NEGOCIO — BRINSA</t>
        </is>
      </c>
    </row>
    <row r="2" ht="21.75" customHeight="1" s="137"/>
    <row r="3" ht="12" customHeight="1" s="137"/>
    <row r="4" ht="18" customHeight="1" s="137">
      <c r="B4" s="152" t="inlineStr">
        <is>
          <t>Corte: MARZO 2025  |  Asesores: 8  |  Informe automático</t>
        </is>
      </c>
    </row>
    <row r="5" ht="7.5" customHeight="1" s="137"/>
    <row r="6" ht="18" customHeight="1" s="137">
      <c r="B6" s="183" t="inlineStr">
        <is>
          <t>VENTA DÍA</t>
        </is>
      </c>
      <c r="D6" s="155" t="inlineStr">
        <is>
          <t>PRESUPUESTO DÍA</t>
        </is>
      </c>
      <c r="F6" s="166" t="inlineStr">
        <is>
          <t>% CUMPL. PPTO</t>
        </is>
      </c>
      <c r="H6" s="169" t="inlineStr">
        <is>
          <t>% CUMPL. PLAN</t>
        </is>
      </c>
    </row>
    <row r="7" ht="18" customHeight="1" s="137">
      <c r="B7" s="186">
        <f>TEXT((Datos!D37+Datos!D38+Datos!D39+Datos!D40+Datos!D41+Datos!D42+Datos!D43+Datos!D44)/1000000,"$#,##0.00")&amp;"M"</f>
        <v/>
      </c>
      <c r="D7" s="157">
        <f>TEXT((Datos!C37+Datos!C38+Datos!C39+Datos!C40+Datos!C41+Datos!C42+Datos!C43+Datos!C44)/1000000,"$#,##0.00")&amp;"M"</f>
        <v/>
      </c>
      <c r="F7" s="167">
        <f>TEXT((Datos!D37+Datos!D38+Datos!D39+Datos!D40+Datos!D41+Datos!D42+Datos!D43+Datos!D44)/(Datos!C37+Datos!C38+Datos!C39+Datos!C40+Datos!C41+Datos!C42+Datos!C43+Datos!C44),"0.0%")</f>
        <v/>
      </c>
      <c r="H7" s="160">
        <f>TEXT((Datos!G37+Datos!G38+Datos!G39+Datos!G40+Datos!G41+Datos!G42+Datos!G43+Datos!G44)/(Datos!F37+Datos!F38+Datos!F39+Datos!F40+Datos!F41+Datos!F42+Datos!F43+Datos!F44),"0.0%")</f>
        <v/>
      </c>
    </row>
    <row r="8" ht="18" customHeight="1" s="137"/>
    <row r="9" ht="18" customHeight="1" s="137"/>
    <row r="10" ht="7.5" customHeight="1" s="137"/>
    <row r="11" ht="18" customHeight="1" s="137">
      <c r="B11" s="170" t="inlineStr">
        <is>
          <t>FACTURAS / OBJETIVO</t>
        </is>
      </c>
      <c r="D11" s="166" t="inlineStr">
        <is>
          <t>CUMPLEN META PLAN</t>
        </is>
      </c>
      <c r="F11" s="184" t="inlineStr">
        <is>
          <t>MEJOR ASESOR</t>
        </is>
      </c>
      <c r="H11" s="155" t="inlineStr">
        <is>
          <t>PEDIDOS FALTANTES</t>
        </is>
      </c>
    </row>
    <row r="12" ht="18" customHeight="1" s="137">
      <c r="B12" s="168">
        <f>TEXT(Datos!G37+Datos!G38+Datos!G39+Datos!G40+Datos!G41+Datos!G42+Datos!G43+Datos!G44,"0")&amp;" / "&amp;TEXT(Datos!F37+Datos!F38+Datos!F39+Datos!F40+Datos!F41+Datos!F42+Datos!F43+Datos!F44,"0")</f>
        <v/>
      </c>
      <c r="D12" s="161">
        <f>TEXT(COUNTIF(Datos!H37:H44,"&gt;="&amp;1),"0")&amp;" / "&amp;"8"</f>
        <v/>
      </c>
      <c r="F12" s="187">
        <f>IF(ISNUMBER(VALUE(LEFT(INDEX(Datos!B37:B44,MATCH(MAX(Datos!D37:D44),Datos!D37:D44,0)),4))),MID(INDEX(Datos!B37:B44,MATCH(MAX(Datos!D37:D44),Datos!D37:D44,0)),6,100),INDEX(Datos!B37:B44,MATCH(MAX(Datos!D37:D44),Datos!D37:D44,0)))</f>
        <v/>
      </c>
      <c r="H12" s="162">
        <f>TEXT(ABS(Datos!F37+Datos!F38+Datos!F39+Datos!F40+Datos!F41+Datos!F42+Datos!F43+Datos!F44-Datos!G37+Datos!G38+Datos!G39+Datos!G40+Datos!G41+Datos!G42+Datos!G43+Datos!G44),"0")&amp;IF(Datos!G37+Datos!G38+Datos!G39+Datos!G40+Datos!G41+Datos!G42+Datos!G43+Datos!G44&gt;=Datos!F37+Datos!F38+Datos!F39+Datos!F40+Datos!F41+Datos!F42+Datos!F43+Datos!F44," excedente"," pedidos")</f>
        <v/>
      </c>
    </row>
    <row r="13" ht="18" customHeight="1" s="137"/>
    <row r="14" ht="18" customHeight="1" s="137"/>
    <row r="15" ht="7.5" customHeight="1" s="137"/>
    <row r="16" ht="19.5" customHeight="1" s="137">
      <c r="B16" s="185" t="inlineStr">
        <is>
          <t>DETALLE DE ASESORES — BRINSA</t>
        </is>
      </c>
    </row>
    <row r="17" ht="19.5" customHeight="1" s="137">
      <c r="B17" s="159" t="inlineStr">
        <is>
          <t>Asesor Comercial</t>
        </is>
      </c>
      <c r="C17" s="159" t="inlineStr">
        <is>
          <t>Ppto Día ($)</t>
        </is>
      </c>
      <c r="D17" s="159" t="inlineStr">
        <is>
          <t>Venta Día ($)</t>
        </is>
      </c>
      <c r="E17" s="159" t="inlineStr">
        <is>
          <t>% Cumpl. Ppto</t>
        </is>
      </c>
      <c r="F17" s="159" t="inlineStr">
        <is>
          <t># Facturas</t>
        </is>
      </c>
      <c r="G17" s="159" t="inlineStr">
        <is>
          <t>Obj. Plan</t>
        </is>
      </c>
      <c r="H17" s="159" t="inlineStr">
        <is>
          <t>Faltante</t>
        </is>
      </c>
      <c r="I17" s="159" t="inlineStr">
        <is>
          <t>Estado Plan</t>
        </is>
      </c>
    </row>
    <row r="18" ht="15.75" customHeight="1" s="137">
      <c r="B18" s="97">
        <f>IF(ISNUMBER(VALUE(LEFT(Datos!B37,4))),MID(Datos!B37,6,100),Datos!B37)</f>
        <v/>
      </c>
      <c r="C18" s="98">
        <f>Datos!C37</f>
        <v/>
      </c>
      <c r="D18" s="99">
        <f>Datos!D37</f>
        <v/>
      </c>
      <c r="E18" s="212">
        <f>Datos!E37</f>
        <v/>
      </c>
      <c r="F18" s="101">
        <f>Datos!G37</f>
        <v/>
      </c>
      <c r="G18" s="101">
        <f>Datos!F37</f>
        <v/>
      </c>
      <c r="H18" s="101">
        <f>Datos!I37</f>
        <v/>
      </c>
      <c r="I18" s="120">
        <f>IF(Datos!E37&gt;=0.9,"🟢 EXCELENTE",IF(Datos!E37&gt;=0.7,"🟡 EN CAMINO",IF(Datos!E37&gt;=0.5,"🟠 ALERTA","🔴 CRÍTICO")))</f>
        <v/>
      </c>
    </row>
    <row r="19" ht="15.75" customHeight="1" s="137">
      <c r="B19" s="102">
        <f>IF(ISNUMBER(VALUE(LEFT(Datos!B38,4))),MID(Datos!B38,6,100),Datos!B38)</f>
        <v/>
      </c>
      <c r="C19" s="103">
        <f>Datos!C38</f>
        <v/>
      </c>
      <c r="D19" s="104">
        <f>Datos!D38</f>
        <v/>
      </c>
      <c r="E19" s="213">
        <f>Datos!E38</f>
        <v/>
      </c>
      <c r="F19" s="106">
        <f>Datos!G38</f>
        <v/>
      </c>
      <c r="G19" s="106">
        <f>Datos!F38</f>
        <v/>
      </c>
      <c r="H19" s="106">
        <f>Datos!I38</f>
        <v/>
      </c>
      <c r="I19" s="121">
        <f>IF(Datos!E38&gt;=0.9,"🟢 EXCELENTE",IF(Datos!E38&gt;=0.7,"🟡 EN CAMINO",IF(Datos!E38&gt;=0.5,"🟠 ALERTA","🔴 CRÍTICO")))</f>
        <v/>
      </c>
    </row>
    <row r="20" ht="15.75" customHeight="1" s="137">
      <c r="B20" s="97">
        <f>IF(ISNUMBER(VALUE(LEFT(Datos!B39,4))),MID(Datos!B39,6,100),Datos!B39)</f>
        <v/>
      </c>
      <c r="C20" s="98">
        <f>Datos!C39</f>
        <v/>
      </c>
      <c r="D20" s="99">
        <f>Datos!D39</f>
        <v/>
      </c>
      <c r="E20" s="212">
        <f>Datos!E39</f>
        <v/>
      </c>
      <c r="F20" s="101">
        <f>Datos!G39</f>
        <v/>
      </c>
      <c r="G20" s="101">
        <f>Datos!F39</f>
        <v/>
      </c>
      <c r="H20" s="101">
        <f>Datos!I39</f>
        <v/>
      </c>
      <c r="I20" s="120">
        <f>IF(Datos!E39&gt;=0.9,"🟢 EXCELENTE",IF(Datos!E39&gt;=0.7,"🟡 EN CAMINO",IF(Datos!E39&gt;=0.5,"🟠 ALERTA","🔴 CRÍTICO")))</f>
        <v/>
      </c>
    </row>
    <row r="21" ht="15.75" customHeight="1" s="137">
      <c r="B21" s="102">
        <f>IF(ISNUMBER(VALUE(LEFT(Datos!B40,4))),MID(Datos!B40,6,100),Datos!B40)</f>
        <v/>
      </c>
      <c r="C21" s="103">
        <f>Datos!C40</f>
        <v/>
      </c>
      <c r="D21" s="104">
        <f>Datos!D40</f>
        <v/>
      </c>
      <c r="E21" s="213">
        <f>Datos!E40</f>
        <v/>
      </c>
      <c r="F21" s="106">
        <f>Datos!G40</f>
        <v/>
      </c>
      <c r="G21" s="106">
        <f>Datos!F40</f>
        <v/>
      </c>
      <c r="H21" s="106">
        <f>Datos!I40</f>
        <v/>
      </c>
      <c r="I21" s="121">
        <f>IF(Datos!E40&gt;=0.9,"🟢 EXCELENTE",IF(Datos!E40&gt;=0.7,"🟡 EN CAMINO",IF(Datos!E40&gt;=0.5,"🟠 ALERTA","🔴 CRÍTICO")))</f>
        <v/>
      </c>
    </row>
    <row r="22" ht="15.75" customHeight="1" s="137">
      <c r="B22" s="97">
        <f>IF(ISNUMBER(VALUE(LEFT(Datos!B41,4))),MID(Datos!B41,6,100),Datos!B41)</f>
        <v/>
      </c>
      <c r="C22" s="98">
        <f>Datos!C41</f>
        <v/>
      </c>
      <c r="D22" s="99">
        <f>Datos!D41</f>
        <v/>
      </c>
      <c r="E22" s="212">
        <f>Datos!E41</f>
        <v/>
      </c>
      <c r="F22" s="101">
        <f>Datos!G41</f>
        <v/>
      </c>
      <c r="G22" s="101">
        <f>Datos!F41</f>
        <v/>
      </c>
      <c r="H22" s="101">
        <f>Datos!I41</f>
        <v/>
      </c>
      <c r="I22" s="120">
        <f>IF(Datos!E41&gt;=0.9,"🟢 EXCELENTE",IF(Datos!E41&gt;=0.7,"🟡 EN CAMINO",IF(Datos!E41&gt;=0.5,"🟠 ALERTA","🔴 CRÍTICO")))</f>
        <v/>
      </c>
    </row>
    <row r="23" ht="15.75" customHeight="1" s="137">
      <c r="B23" s="102">
        <f>IF(ISNUMBER(VALUE(LEFT(Datos!B42,4))),MID(Datos!B42,6,100),Datos!B42)</f>
        <v/>
      </c>
      <c r="C23" s="103">
        <f>Datos!C42</f>
        <v/>
      </c>
      <c r="D23" s="104">
        <f>Datos!D42</f>
        <v/>
      </c>
      <c r="E23" s="213">
        <f>Datos!E42</f>
        <v/>
      </c>
      <c r="F23" s="106">
        <f>Datos!G42</f>
        <v/>
      </c>
      <c r="G23" s="106">
        <f>Datos!F42</f>
        <v/>
      </c>
      <c r="H23" s="106">
        <f>Datos!I42</f>
        <v/>
      </c>
      <c r="I23" s="121">
        <f>IF(Datos!E42&gt;=0.9,"🟢 EXCELENTE",IF(Datos!E42&gt;=0.7,"🟡 EN CAMINO",IF(Datos!E42&gt;=0.5,"🟠 ALERTA","🔴 CRÍTICO")))</f>
        <v/>
      </c>
    </row>
    <row r="24" ht="15.75" customHeight="1" s="137">
      <c r="B24" s="97">
        <f>IF(ISNUMBER(VALUE(LEFT(Datos!B43,4))),MID(Datos!B43,6,100),Datos!B43)</f>
        <v/>
      </c>
      <c r="C24" s="98">
        <f>Datos!C43</f>
        <v/>
      </c>
      <c r="D24" s="99">
        <f>Datos!D43</f>
        <v/>
      </c>
      <c r="E24" s="212">
        <f>Datos!E43</f>
        <v/>
      </c>
      <c r="F24" s="101">
        <f>Datos!G43</f>
        <v/>
      </c>
      <c r="G24" s="101">
        <f>Datos!F43</f>
        <v/>
      </c>
      <c r="H24" s="101">
        <f>Datos!I43</f>
        <v/>
      </c>
      <c r="I24" s="120">
        <f>IF(Datos!E43&gt;=0.9,"🟢 EXCELENTE",IF(Datos!E43&gt;=0.7,"🟡 EN CAMINO",IF(Datos!E43&gt;=0.5,"🟠 ALERTA","🔴 CRÍTICO")))</f>
        <v/>
      </c>
    </row>
    <row r="25" ht="15.75" customHeight="1" s="137">
      <c r="B25" s="102">
        <f>IF(ISNUMBER(VALUE(LEFT(Datos!B44,4))),MID(Datos!B44,6,100),Datos!B44)</f>
        <v/>
      </c>
      <c r="C25" s="103">
        <f>Datos!C44</f>
        <v/>
      </c>
      <c r="D25" s="104">
        <f>Datos!D44</f>
        <v/>
      </c>
      <c r="E25" s="213">
        <f>Datos!E44</f>
        <v/>
      </c>
      <c r="F25" s="106">
        <f>Datos!G44</f>
        <v/>
      </c>
      <c r="G25" s="106">
        <f>Datos!F44</f>
        <v/>
      </c>
      <c r="H25" s="106">
        <f>Datos!I44</f>
        <v/>
      </c>
      <c r="I25" s="121">
        <f>IF(Datos!E44&gt;=0.9,"🟢 EXCELENTE",IF(Datos!E44&gt;=0.7,"🟡 EN CAMINO",IF(Datos!E44&gt;=0.5,"🟠 ALERTA","🔴 CRÍTICO")))</f>
        <v/>
      </c>
    </row>
    <row r="26" ht="18" customHeight="1" s="137">
      <c r="B26" s="107" t="inlineStr">
        <is>
          <t>TOTAL BRINSA</t>
        </is>
      </c>
      <c r="C26" s="122">
        <f>Datos!C37+Datos!C38+Datos!C39+Datos!C40+Datos!C41+Datos!C42+Datos!C43+Datos!C44</f>
        <v/>
      </c>
      <c r="D26" s="109">
        <f>Datos!D37+Datos!D38+Datos!D39+Datos!D40+Datos!D41+Datos!D42+Datos!D43+Datos!D44</f>
        <v/>
      </c>
      <c r="E26" s="214">
        <f>D26/C26</f>
        <v/>
      </c>
      <c r="F26" s="122">
        <f>Datos!G37+Datos!G38+Datos!G39+Datos!G40+Datos!G41+Datos!G42+Datos!G43+Datos!G44</f>
        <v/>
      </c>
      <c r="G26" s="122">
        <f>Datos!F37+Datos!F38+Datos!F39+Datos!F40+Datos!F41+Datos!F42+Datos!F43+Datos!F44</f>
        <v/>
      </c>
      <c r="H26" s="155">
        <f>SUM(H18:H25)</f>
        <v/>
      </c>
      <c r="I26" s="214">
        <f>F26/G26</f>
        <v/>
      </c>
    </row>
    <row r="27" ht="7.5" customHeight="1" s="137"/>
    <row r="28" ht="18" customHeight="1" s="137">
      <c r="B28" s="158" t="inlineStr">
        <is>
          <t>ANÁLISIS DE GESTIÓN</t>
        </is>
      </c>
    </row>
    <row r="29" ht="15.75" customHeight="1" s="137">
      <c r="B29" s="156">
        <f>"▶ Venta del día en progreso: "&amp;TEXT((Datos!D37+Datos!D38+Datos!D39+Datos!D40+Datos!D41+Datos!D42+Datos!D43+Datos!D44)/(Datos!C37+Datos!C38+Datos!C39+Datos!C40+Datos!C41+Datos!C42+Datos!C43+Datos!C44),"0.0%")&amp;" del presupuesto."</f>
        <v/>
      </c>
    </row>
    <row r="30" ht="15.75" customHeight="1" s="137">
      <c r="B30" s="153">
        <f>IF(COUNTIF(Datos!H37:H44,"&gt;="&amp;1)=8,"✔ "&amp;8&amp;" de 8 asesores cumplen meta. Excedente de "&amp;ABS((Datos!G37+Datos!G38+Datos!G39+Datos!G40+Datos!G41+Datos!G42+Datos!G43+Datos!G44)-(Datos!F37+Datos!F38+Datos!F39+Datos!F40+Datos!F41+Datos!F42+Datos!F43+Datos!F44))&amp;" pedidos sobre el objetivo.","▶ "&amp;COUNTIF(Datos!H37:H44,"&gt;="&amp;1)&amp;" de 8 asesores cumplen meta. Pendiente cerrar "&amp;MAX(0,(Datos!F37+Datos!F38+Datos!F39+Datos!F40+Datos!F41+Datos!F42+Datos!F43+Datos!F44)-(Datos!G37+Datos!G38+Datos!G39+Datos!G40+Datos!G41+Datos!G42+Datos!G43+Datos!G44))&amp;" pedidos.")</f>
        <v/>
      </c>
    </row>
    <row r="31" ht="15.75" customHeight="1" s="137">
      <c r="B31" s="156">
        <f>"★ Mejor asesor: "&amp;IF(ISNUMBER(VALUE(LEFT(INDEX(Datos!B37:B44,MATCH(MAX(Datos!D37:D44),Datos!D37:D44,0)),4))),MID(INDEX(Datos!B37:B44,MATCH(MAX(Datos!D37:D44),Datos!D37:D44,0)),6,100),INDEX(Datos!B37:B44,MATCH(MAX(Datos!D37:D44),Datos!D37:D44,0)))&amp;" con "&amp;TEXT(MAX(Datos!D37:D44),"$#,##0")&amp;" y "&amp;INDEX(Datos!G37:G44,MATCH(MAX(Datos!D37:D44),Datos!D37:D44,0))&amp;" facturas."</f>
        <v/>
      </c>
    </row>
    <row r="32" ht="15.75" customHeight="1" s="137">
      <c r="B32" s="153">
        <f>"⚠ Asesor con menor venta: "&amp;IF(ISNUMBER(VALUE(LEFT(INDEX(Datos!B37:B44,MATCH(MIN(Datos!D37:D44),Datos!D37:D44,0)),4))),MID(INDEX(Datos!B37:B44,MATCH(MIN(Datos!D37:D44),Datos!D37:D44,0)),6,100),INDEX(Datos!B37:B44,MATCH(MIN(Datos!D37:D44),Datos!D37:D44,0)))&amp;" con "&amp;TEXT(MIN(Datos!D37:D44),"$#,##0")&amp;" ("&amp;TEXT(MIN(Datos!E37:E44),"0.0%")&amp;" del ppto)."</f>
        <v/>
      </c>
    </row>
  </sheetData>
  <mergeCells count="24">
    <mergeCell ref="F11:G11"/>
    <mergeCell ref="B16:I16"/>
    <mergeCell ref="B7:C9"/>
    <mergeCell ref="F6:G6"/>
    <mergeCell ref="B31:I31"/>
    <mergeCell ref="D6:E6"/>
    <mergeCell ref="F7:G9"/>
    <mergeCell ref="B12:C14"/>
    <mergeCell ref="H6:I6"/>
    <mergeCell ref="B11:C11"/>
    <mergeCell ref="D11:E11"/>
    <mergeCell ref="F12:G14"/>
    <mergeCell ref="B1:I3"/>
    <mergeCell ref="H11:I11"/>
    <mergeCell ref="B29:I29"/>
    <mergeCell ref="D7:E9"/>
    <mergeCell ref="B28:I28"/>
    <mergeCell ref="B6:C6"/>
    <mergeCell ref="H7:I9"/>
    <mergeCell ref="B30:I30"/>
    <mergeCell ref="D12:E14"/>
    <mergeCell ref="H12:I14"/>
    <mergeCell ref="B32:I32"/>
    <mergeCell ref="B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I26"/>
  <sheetViews>
    <sheetView workbookViewId="0">
      <selection activeCell="B1" sqref="B1:I21"/>
    </sheetView>
  </sheetViews>
  <sheetFormatPr baseColWidth="10" defaultColWidth="8.88671875" defaultRowHeight="14.4"/>
  <cols>
    <col width="3" customWidth="1" style="137" min="1" max="1"/>
    <col width="30" customWidth="1" style="137" min="2" max="2"/>
    <col width="16" customWidth="1" style="137" min="3" max="4"/>
    <col width="15" customWidth="1" style="137" min="5" max="5"/>
    <col width="13" customWidth="1" style="137" min="6" max="6"/>
    <col width="12" customWidth="1" style="137" min="7" max="7"/>
    <col width="14" customWidth="1" style="137" min="8" max="8"/>
    <col width="13" customWidth="1" style="137" min="9" max="9"/>
    <col width="3" customWidth="1" style="137" min="10" max="10"/>
  </cols>
  <sheetData>
    <row r="1" ht="12" customHeight="1" s="137">
      <c r="B1" s="154" t="inlineStr">
        <is>
          <t>UNIDAD DE NEGOCIO — COLOMBINA HELADOS</t>
        </is>
      </c>
    </row>
    <row r="2" ht="21.75" customHeight="1" s="137"/>
    <row r="3" ht="12" customHeight="1" s="137"/>
    <row r="4" ht="18" customHeight="1" s="137">
      <c r="B4" s="152" t="inlineStr">
        <is>
          <t>Corte: MARZO 2025  |  Asesores: 2  |  Informe automático</t>
        </is>
      </c>
    </row>
    <row r="5" ht="7.5" customHeight="1" s="137"/>
    <row r="6" ht="18" customHeight="1" s="137">
      <c r="B6" s="188" t="inlineStr">
        <is>
          <t>VENTA DÍA</t>
        </is>
      </c>
      <c r="D6" s="155" t="inlineStr">
        <is>
          <t>PRESUPUESTO DÍA</t>
        </is>
      </c>
      <c r="F6" s="166" t="inlineStr">
        <is>
          <t>% CUMPL. PPTO</t>
        </is>
      </c>
      <c r="H6" s="169" t="inlineStr">
        <is>
          <t>% CUMPL. PLAN</t>
        </is>
      </c>
    </row>
    <row r="7" ht="18" customHeight="1" s="137">
      <c r="B7" s="191">
        <f>TEXT((Datos!D2+Datos!D3)/1000000,"$#,##0.00")&amp;"M"</f>
        <v/>
      </c>
      <c r="D7" s="157">
        <f>TEXT((Datos!C2+Datos!C3)/1000000,"$#,##0.00")&amp;"M"</f>
        <v/>
      </c>
      <c r="F7" s="167">
        <f>TEXT((Datos!D2+Datos!D3)/(Datos!C2+Datos!C3),"0.0%")</f>
        <v/>
      </c>
      <c r="H7" s="160">
        <f>TEXT((Datos!G2+Datos!G3)/(Datos!F2+Datos!F3),"0.0%")</f>
        <v/>
      </c>
    </row>
    <row r="8" ht="18" customHeight="1" s="137"/>
    <row r="9" ht="18" customHeight="1" s="137"/>
    <row r="10" ht="7.5" customHeight="1" s="137"/>
    <row r="11" ht="18" customHeight="1" s="137">
      <c r="B11" s="170" t="inlineStr">
        <is>
          <t>FACTURAS / OBJETIVO</t>
        </is>
      </c>
      <c r="D11" s="166" t="inlineStr">
        <is>
          <t>CUMPLEN META PLAN</t>
        </is>
      </c>
      <c r="F11" s="189" t="inlineStr">
        <is>
          <t>MEJOR ASESOR</t>
        </is>
      </c>
      <c r="H11" s="155" t="inlineStr">
        <is>
          <t>PEDIDOS FALTANTES</t>
        </is>
      </c>
    </row>
    <row r="12" ht="18" customHeight="1" s="137">
      <c r="B12" s="168">
        <f>TEXT(Datos!G2+Datos!G3,"0")&amp;" / "&amp;TEXT(Datos!F2+Datos!F3,"0")</f>
        <v/>
      </c>
      <c r="D12" s="161">
        <f>TEXT(COUNTIF(Datos!H2:H3,"&gt;="&amp;1),"0")&amp;" / "&amp;"2"</f>
        <v/>
      </c>
      <c r="F12" s="192">
        <f>IF(ISNUMBER(VALUE(LEFT(INDEX(Datos!B2:B3,MATCH(MAX(Datos!D2:D3),Datos!D2:D3,0)),4))),MID(INDEX(Datos!B2:B3,MATCH(MAX(Datos!D2:D3),Datos!D2:D3,0)),6,100),INDEX(Datos!B2:B3,MATCH(MAX(Datos!D2:D3),Datos!D2:D3,0)))</f>
        <v/>
      </c>
      <c r="H12" s="162">
        <f>TEXT(ABS(Datos!F2+Datos!F3-Datos!G2+Datos!G3),"0")&amp;IF(Datos!G2+Datos!G3&gt;=Datos!F2+Datos!F3," excedente"," pedidos")</f>
        <v/>
      </c>
    </row>
    <row r="13" ht="18" customHeight="1" s="137"/>
    <row r="14" ht="18" customHeight="1" s="137"/>
    <row r="15" ht="7.5" customHeight="1" s="137"/>
    <row r="16" ht="19.5" customHeight="1" s="137">
      <c r="B16" s="190" t="inlineStr">
        <is>
          <t>DETALLE DE ASESORES — COLOMBINA HELADOS</t>
        </is>
      </c>
    </row>
    <row r="17" ht="19.5" customHeight="1" s="137">
      <c r="B17" s="159" t="inlineStr">
        <is>
          <t>Asesor Comercial</t>
        </is>
      </c>
      <c r="C17" s="159" t="inlineStr">
        <is>
          <t>Ppto Día ($)</t>
        </is>
      </c>
      <c r="D17" s="159" t="inlineStr">
        <is>
          <t>Venta Día ($)</t>
        </is>
      </c>
      <c r="E17" s="159" t="inlineStr">
        <is>
          <t>% Cumpl. Ppto</t>
        </is>
      </c>
      <c r="F17" s="159" t="inlineStr">
        <is>
          <t># Facturas</t>
        </is>
      </c>
      <c r="G17" s="159" t="inlineStr">
        <is>
          <t>Obj. Plan</t>
        </is>
      </c>
      <c r="H17" s="159" t="inlineStr">
        <is>
          <t>Faltante</t>
        </is>
      </c>
      <c r="I17" s="159" t="inlineStr">
        <is>
          <t>Estado Plan</t>
        </is>
      </c>
    </row>
    <row r="18" ht="15.75" customHeight="1" s="137">
      <c r="B18" s="97">
        <f>IF(ISNUMBER(VALUE(LEFT(Datos!B2,4))),MID(Datos!B2,6,100),Datos!B2)</f>
        <v/>
      </c>
      <c r="C18" s="98">
        <f>Datos!C2</f>
        <v/>
      </c>
      <c r="D18" s="99">
        <f>Datos!D2</f>
        <v/>
      </c>
      <c r="E18" s="212">
        <f>Datos!E2</f>
        <v/>
      </c>
      <c r="F18" s="101">
        <f>Datos!G2</f>
        <v/>
      </c>
      <c r="G18" s="101">
        <f>Datos!F2</f>
        <v/>
      </c>
      <c r="H18" s="101">
        <f>Datos!I2</f>
        <v/>
      </c>
      <c r="I18" s="120">
        <f>IF(Datos!E2&gt;=0.9,"🟢 EXCELENTE",IF(Datos!E2&gt;=0.7,"🟡 EN CAMINO",IF(Datos!E2&gt;=0.5,"🟠 ALERTA","🔴 CRÍTICO")))</f>
        <v/>
      </c>
    </row>
    <row r="19" ht="15.75" customHeight="1" s="137">
      <c r="B19" s="102">
        <f>IF(ISNUMBER(VALUE(LEFT(Datos!B3,4))),MID(Datos!B3,6,100),Datos!B3)</f>
        <v/>
      </c>
      <c r="C19" s="103">
        <f>Datos!C3</f>
        <v/>
      </c>
      <c r="D19" s="104">
        <f>Datos!D3</f>
        <v/>
      </c>
      <c r="E19" s="213">
        <f>Datos!E3</f>
        <v/>
      </c>
      <c r="F19" s="106">
        <f>Datos!G3</f>
        <v/>
      </c>
      <c r="G19" s="106">
        <f>Datos!F3</f>
        <v/>
      </c>
      <c r="H19" s="106">
        <f>Datos!I3</f>
        <v/>
      </c>
      <c r="I19" s="121">
        <f>IF(Datos!E3&gt;=0.9,"🟢 EXCELENTE",IF(Datos!E3&gt;=0.7,"🟡 EN CAMINO",IF(Datos!E3&gt;=0.5,"🟠 ALERTA","🔴 CRÍTICO")))</f>
        <v/>
      </c>
    </row>
    <row r="20" ht="18" customHeight="1" s="137">
      <c r="B20" s="107" t="inlineStr">
        <is>
          <t>TOTAL COLOMBINA HELADOS</t>
        </is>
      </c>
      <c r="C20" s="122">
        <f>Datos!C2+Datos!C3</f>
        <v/>
      </c>
      <c r="D20" s="109">
        <f>Datos!D2+Datos!D3</f>
        <v/>
      </c>
      <c r="E20" s="214">
        <f>D20/C20</f>
        <v/>
      </c>
      <c r="F20" s="122">
        <f>Datos!G2+Datos!G3</f>
        <v/>
      </c>
      <c r="G20" s="122">
        <f>Datos!F2+Datos!F3</f>
        <v/>
      </c>
      <c r="H20" s="155">
        <f>SUM(H18:H19)</f>
        <v/>
      </c>
      <c r="I20" s="214">
        <f>F20/G20</f>
        <v/>
      </c>
    </row>
    <row r="21" ht="7.5" customHeight="1" s="137"/>
    <row r="22" ht="18" customHeight="1" s="137">
      <c r="B22" s="158" t="inlineStr">
        <is>
          <t>ANÁLISIS DE GESTIÓN</t>
        </is>
      </c>
    </row>
    <row r="23" ht="15.75" customHeight="1" s="137">
      <c r="B23" s="156">
        <f>"▶ Venta del día en progreso: "&amp;TEXT((Datos!D2+Datos!D3)/(Datos!C2+Datos!C3),"0.0%")&amp;" del presupuesto."</f>
        <v/>
      </c>
    </row>
    <row r="24" ht="15.75" customHeight="1" s="137">
      <c r="B24" s="153">
        <f>IF(COUNTIF(Datos!H2:H3,"&gt;="&amp;1)=2,"✔ "&amp;2&amp;" de 2 asesores cumplen meta. Excedente de "&amp;ABS((Datos!G2+Datos!G3)-(Datos!F2+Datos!F3))&amp;" pedidos sobre el objetivo.","▶ "&amp;COUNTIF(Datos!H2:H3,"&gt;="&amp;1)&amp;" de 2 asesores cumplen meta. Pendiente cerrar "&amp;MAX(0,(Datos!F2+Datos!F3)-(Datos!G2+Datos!G3))&amp;" pedidos.")</f>
        <v/>
      </c>
    </row>
    <row r="25" ht="15.75" customHeight="1" s="137">
      <c r="B25" s="156">
        <f>"★ Mejor asesor: "&amp;IF(ISNUMBER(VALUE(LEFT(INDEX(Datos!B2:B3,MATCH(MAX(Datos!D2:D3),Datos!D2:D3,0)),4))),MID(INDEX(Datos!B2:B3,MATCH(MAX(Datos!D2:D3),Datos!D2:D3,0)),6,100),INDEX(Datos!B2:B3,MATCH(MAX(Datos!D2:D3),Datos!D2:D3,0)))&amp;" con "&amp;TEXT(MAX(Datos!D2:D3),"$#,##0")&amp;" y "&amp;INDEX(Datos!G2:G3,MATCH(MAX(Datos!D2:D3),Datos!D2:D3,0))&amp;" facturas."</f>
        <v/>
      </c>
    </row>
    <row r="26" ht="15.75" customHeight="1" s="137">
      <c r="B26" s="153">
        <f>"⚠ Asesor con menor venta: "&amp;IF(ISNUMBER(VALUE(LEFT(INDEX(Datos!B2:B3,MATCH(MIN(Datos!D2:D3),Datos!D2:D3,0)),4))),MID(INDEX(Datos!B2:B3,MATCH(MIN(Datos!D2:D3),Datos!D2:D3,0)),6,100),INDEX(Datos!B2:B3,MATCH(MIN(Datos!D2:D3),Datos!D2:D3,0)))&amp;" con "&amp;TEXT(MIN(Datos!D2:D3),"$#,##0")&amp;" ("&amp;TEXT(MIN(Datos!E2:E3),"0.0%")&amp;" del ppto)."</f>
        <v/>
      </c>
    </row>
  </sheetData>
  <mergeCells count="24">
    <mergeCell ref="F11:G11"/>
    <mergeCell ref="B25:I25"/>
    <mergeCell ref="B16:I16"/>
    <mergeCell ref="B7:C9"/>
    <mergeCell ref="F6:G6"/>
    <mergeCell ref="B22:I22"/>
    <mergeCell ref="D6:E6"/>
    <mergeCell ref="F7:G9"/>
    <mergeCell ref="B12:C14"/>
    <mergeCell ref="H6:I6"/>
    <mergeCell ref="B11:C11"/>
    <mergeCell ref="D11:E11"/>
    <mergeCell ref="B23:I23"/>
    <mergeCell ref="F12:G14"/>
    <mergeCell ref="B1:I3"/>
    <mergeCell ref="H11:I11"/>
    <mergeCell ref="D7:E9"/>
    <mergeCell ref="B6:C6"/>
    <mergeCell ref="D12:E14"/>
    <mergeCell ref="H7:I9"/>
    <mergeCell ref="B24:I24"/>
    <mergeCell ref="H12:I14"/>
    <mergeCell ref="B4:I4"/>
    <mergeCell ref="B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I28"/>
  <sheetViews>
    <sheetView tabSelected="1" workbookViewId="0">
      <selection activeCell="B1" sqref="B1:I23"/>
    </sheetView>
  </sheetViews>
  <sheetFormatPr baseColWidth="10" defaultColWidth="8.88671875" defaultRowHeight="14.4"/>
  <cols>
    <col width="3" customWidth="1" style="137" min="1" max="1"/>
    <col width="30" customWidth="1" style="137" min="2" max="2"/>
    <col width="16" customWidth="1" style="137" min="3" max="4"/>
    <col width="15" customWidth="1" style="137" min="5" max="5"/>
    <col width="13" customWidth="1" style="137" min="6" max="6"/>
    <col width="12" customWidth="1" style="137" min="7" max="7"/>
    <col width="14" customWidth="1" style="137" min="8" max="8"/>
    <col width="13" customWidth="1" style="137" min="9" max="9"/>
    <col width="3" customWidth="1" style="137" min="10" max="10"/>
  </cols>
  <sheetData>
    <row r="1" ht="12" customHeight="1" s="137">
      <c r="B1" s="154" t="inlineStr">
        <is>
          <t>UNIDAD DE NEGOCIO — ALIMENTOS POLAR</t>
        </is>
      </c>
    </row>
    <row r="2" ht="21.75" customHeight="1" s="137"/>
    <row r="3" ht="12" customHeight="1" s="137"/>
    <row r="4" ht="18" customHeight="1" s="137">
      <c r="B4" s="152" t="inlineStr">
        <is>
          <t>Corte: MARZO 2025  |  Asesores: 4  |  Informe automático</t>
        </is>
      </c>
    </row>
    <row r="5" ht="7.5" customHeight="1" s="137"/>
    <row r="6" ht="18" customHeight="1" s="137">
      <c r="B6" s="193" t="inlineStr">
        <is>
          <t>VENTA DÍA</t>
        </is>
      </c>
      <c r="D6" s="155" t="inlineStr">
        <is>
          <t>PRESUPUESTO DÍA</t>
        </is>
      </c>
      <c r="F6" s="166" t="inlineStr">
        <is>
          <t>% CUMPL. PPTO</t>
        </is>
      </c>
      <c r="H6" s="169" t="inlineStr">
        <is>
          <t>% CUMPL. PLAN</t>
        </is>
      </c>
    </row>
    <row r="7" ht="18" customHeight="1" s="137">
      <c r="B7" s="196">
        <f>TEXT((Datos!D45+Datos!D46+Datos!D47+Datos!D48)/1000000,"$#,##0.00")&amp;"M"</f>
        <v/>
      </c>
      <c r="D7" s="157">
        <f>TEXT((Datos!C45+Datos!C46+Datos!C47+Datos!C48)/1000000,"$#,##0.00")&amp;"M"</f>
        <v/>
      </c>
      <c r="F7" s="167">
        <f>TEXT((Datos!D45+Datos!D46+Datos!D47+Datos!D48)/(Datos!C45+Datos!C46+Datos!C47+Datos!C48),"0.0%")</f>
        <v/>
      </c>
      <c r="H7" s="160">
        <f>TEXT((Datos!G45+Datos!G46+Datos!G47+Datos!G48)/(Datos!F45+Datos!F46+Datos!F47+Datos!F48),"0.0%")</f>
        <v/>
      </c>
    </row>
    <row r="8" ht="18" customHeight="1" s="137"/>
    <row r="9" ht="18" customHeight="1" s="137"/>
    <row r="10" ht="7.5" customHeight="1" s="137"/>
    <row r="11" ht="18" customHeight="1" s="137">
      <c r="B11" s="170" t="inlineStr">
        <is>
          <t>FACTURAS / OBJETIVO</t>
        </is>
      </c>
      <c r="D11" s="166" t="inlineStr">
        <is>
          <t>CUMPLEN META PLAN</t>
        </is>
      </c>
      <c r="F11" s="197" t="inlineStr">
        <is>
          <t>MEJOR ASESOR</t>
        </is>
      </c>
      <c r="H11" s="155" t="inlineStr">
        <is>
          <t>PEDIDOS FALTANTES</t>
        </is>
      </c>
    </row>
    <row r="12" ht="18" customHeight="1" s="137">
      <c r="B12" s="168">
        <f>TEXT(Datos!G45+Datos!G46+Datos!G47+Datos!G48,"0")&amp;" / "&amp;TEXT(Datos!F45+Datos!F46+Datos!F47+Datos!F48,"0")</f>
        <v/>
      </c>
      <c r="D12" s="161">
        <f>TEXT(COUNTIF(Datos!H45:H48,"&gt;="&amp;1),"0")&amp;" / "&amp;"4"</f>
        <v/>
      </c>
      <c r="F12" s="195">
        <f>IF(ISNUMBER(VALUE(LEFT(INDEX(Datos!B45:B48,MATCH(MAX(Datos!D45:D48),Datos!D45:D48,0)),4))),MID(INDEX(Datos!B45:B48,MATCH(MAX(Datos!D45:D48),Datos!D45:D48,0)),6,100),INDEX(Datos!B45:B48,MATCH(MAX(Datos!D45:D48),Datos!D45:D48,0)))</f>
        <v/>
      </c>
      <c r="H12" s="162">
        <f>TEXT(ABS(Datos!F45+Datos!F46+Datos!F47+Datos!F48-Datos!G45+Datos!G46+Datos!G47+Datos!G48),"0")&amp;IF(Datos!G45+Datos!G46+Datos!G47+Datos!G48&gt;=Datos!F45+Datos!F46+Datos!F47+Datos!F48," excedente"," pedidos")</f>
        <v/>
      </c>
    </row>
    <row r="13" ht="18" customHeight="1" s="137"/>
    <row r="14" ht="18" customHeight="1" s="137"/>
    <row r="15" ht="7.5" customHeight="1" s="137"/>
    <row r="16" ht="19.5" customHeight="1" s="137">
      <c r="B16" s="194" t="inlineStr">
        <is>
          <t>DETALLE DE ASESORES — ALIMENTOS POLAR</t>
        </is>
      </c>
    </row>
    <row r="17" ht="19.5" customHeight="1" s="137">
      <c r="B17" s="159" t="inlineStr">
        <is>
          <t>Asesor Comercial</t>
        </is>
      </c>
      <c r="C17" s="159" t="inlineStr">
        <is>
          <t>Ppto Día ($)</t>
        </is>
      </c>
      <c r="D17" s="159" t="inlineStr">
        <is>
          <t>Venta Día ($)</t>
        </is>
      </c>
      <c r="E17" s="159" t="inlineStr">
        <is>
          <t>% Cumpl. Ppto</t>
        </is>
      </c>
      <c r="F17" s="159" t="inlineStr">
        <is>
          <t># Facturas</t>
        </is>
      </c>
      <c r="G17" s="159" t="inlineStr">
        <is>
          <t>Obj. Plan</t>
        </is>
      </c>
      <c r="H17" s="159" t="inlineStr">
        <is>
          <t>Faltante</t>
        </is>
      </c>
      <c r="I17" s="159" t="inlineStr">
        <is>
          <t>Estado Plan</t>
        </is>
      </c>
    </row>
    <row r="18" ht="15.75" customHeight="1" s="137">
      <c r="B18" s="97">
        <f>IF(ISNUMBER(VALUE(LEFT(Datos!B45,4))),MID(Datos!B45,6,100),Datos!B45)</f>
        <v/>
      </c>
      <c r="C18" s="98">
        <f>Datos!C45</f>
        <v/>
      </c>
      <c r="D18" s="99">
        <f>Datos!D45</f>
        <v/>
      </c>
      <c r="E18" s="212">
        <f>Datos!E45</f>
        <v/>
      </c>
      <c r="F18" s="101">
        <f>Datos!G45</f>
        <v/>
      </c>
      <c r="G18" s="101">
        <f>Datos!F45</f>
        <v/>
      </c>
      <c r="H18" s="101">
        <f>Datos!I45</f>
        <v/>
      </c>
      <c r="I18" s="120">
        <f>IF(Datos!E45&gt;=0.9,"🟢 EXCELENTE",IF(Datos!E45&gt;=0.7,"🟡 EN CAMINO",IF(Datos!E45&gt;=0.5,"🟠 ALERTA","🔴 CRÍTICO")))</f>
        <v/>
      </c>
    </row>
    <row r="19" ht="15.75" customHeight="1" s="137">
      <c r="B19" s="102">
        <f>IF(ISNUMBER(VALUE(LEFT(Datos!B46,4))),MID(Datos!B46,6,100),Datos!B46)</f>
        <v/>
      </c>
      <c r="C19" s="103">
        <f>Datos!C46</f>
        <v/>
      </c>
      <c r="D19" s="104">
        <f>Datos!D46</f>
        <v/>
      </c>
      <c r="E19" s="213">
        <f>Datos!E46</f>
        <v/>
      </c>
      <c r="F19" s="106">
        <f>Datos!G46</f>
        <v/>
      </c>
      <c r="G19" s="106">
        <f>Datos!F46</f>
        <v/>
      </c>
      <c r="H19" s="106">
        <f>Datos!I46</f>
        <v/>
      </c>
      <c r="I19" s="121">
        <f>IF(Datos!E46&gt;=0.9,"🟢 EXCELENTE",IF(Datos!E46&gt;=0.7,"🟡 EN CAMINO",IF(Datos!E46&gt;=0.5,"🟠 ALERTA","🔴 CRÍTICO")))</f>
        <v/>
      </c>
    </row>
    <row r="20" ht="15.75" customHeight="1" s="137">
      <c r="B20" s="97">
        <f>IF(ISNUMBER(VALUE(LEFT(Datos!B47,4))),MID(Datos!B47,6,100),Datos!B47)</f>
        <v/>
      </c>
      <c r="C20" s="98">
        <f>Datos!C47</f>
        <v/>
      </c>
      <c r="D20" s="99">
        <f>Datos!D47</f>
        <v/>
      </c>
      <c r="E20" s="212">
        <f>Datos!E47</f>
        <v/>
      </c>
      <c r="F20" s="101">
        <f>Datos!G47</f>
        <v/>
      </c>
      <c r="G20" s="101">
        <f>Datos!F47</f>
        <v/>
      </c>
      <c r="H20" s="101">
        <f>Datos!I47</f>
        <v/>
      </c>
      <c r="I20" s="120">
        <f>IF(Datos!E47&gt;=0.9,"🟢 EXCELENTE",IF(Datos!E47&gt;=0.7,"🟡 EN CAMINO",IF(Datos!E47&gt;=0.5,"🟠 ALERTA","🔴 CRÍTICO")))</f>
        <v/>
      </c>
    </row>
    <row r="21" ht="15.75" customHeight="1" s="137">
      <c r="B21" s="102">
        <f>IF(ISNUMBER(VALUE(LEFT(Datos!B48,4))),MID(Datos!B48,6,100),Datos!B48)</f>
        <v/>
      </c>
      <c r="C21" s="103">
        <f>Datos!C48</f>
        <v/>
      </c>
      <c r="D21" s="104">
        <f>Datos!D48</f>
        <v/>
      </c>
      <c r="E21" s="213">
        <f>Datos!E48</f>
        <v/>
      </c>
      <c r="F21" s="106">
        <f>Datos!G48</f>
        <v/>
      </c>
      <c r="G21" s="106">
        <f>Datos!F48</f>
        <v/>
      </c>
      <c r="H21" s="106">
        <f>Datos!I48</f>
        <v/>
      </c>
      <c r="I21" s="121">
        <f>IF(Datos!E48&gt;=0.9,"🟢 EXCELENTE",IF(Datos!E48&gt;=0.7,"🟡 EN CAMINO",IF(Datos!E48&gt;=0.5,"🟠 ALERTA","🔴 CRÍTICO")))</f>
        <v/>
      </c>
    </row>
    <row r="22" ht="18" customHeight="1" s="137">
      <c r="B22" s="107" t="inlineStr">
        <is>
          <t>TOTAL ALIMENTOS POLAR</t>
        </is>
      </c>
      <c r="C22" s="122">
        <f>Datos!C45+Datos!C46+Datos!C47+Datos!C48</f>
        <v/>
      </c>
      <c r="D22" s="109">
        <f>Datos!D45+Datos!D46+Datos!D47+Datos!D48</f>
        <v/>
      </c>
      <c r="E22" s="214">
        <f>D22/C22</f>
        <v/>
      </c>
      <c r="F22" s="122">
        <f>Datos!G45+Datos!G46+Datos!G47+Datos!G48</f>
        <v/>
      </c>
      <c r="G22" s="122">
        <f>Datos!F45+Datos!F46+Datos!F47+Datos!F48</f>
        <v/>
      </c>
      <c r="H22" s="155">
        <f>SUM(H18:H21)</f>
        <v/>
      </c>
      <c r="I22" s="214">
        <f>F22/G22</f>
        <v/>
      </c>
    </row>
    <row r="23" ht="7.5" customHeight="1" s="137"/>
    <row r="24" ht="18" customHeight="1" s="137">
      <c r="B24" s="158" t="inlineStr">
        <is>
          <t>ANÁLISIS DE GESTIÓN</t>
        </is>
      </c>
    </row>
    <row r="25" ht="15.75" customHeight="1" s="137">
      <c r="B25" s="156">
        <f>"▶ Venta del día en progreso: "&amp;TEXT((Datos!D45+Datos!D46+Datos!D47+Datos!D48)/(Datos!C45+Datos!C46+Datos!C47+Datos!C48),"0.0%")&amp;" del presupuesto."</f>
        <v/>
      </c>
    </row>
    <row r="26" ht="15.75" customHeight="1" s="137">
      <c r="B26" s="153">
        <f>IF(COUNTIF(Datos!H45:H48,"&gt;="&amp;1)=4,"✔ "&amp;4&amp;" de 4 asesores cumplen meta. Excedente de "&amp;ABS((Datos!G45+Datos!G46+Datos!G47+Datos!G48)-(Datos!F45+Datos!F46+Datos!F47+Datos!F48))&amp;" pedidos sobre el objetivo.","▶ "&amp;COUNTIF(Datos!H45:H48,"&gt;="&amp;1)&amp;" de 4 asesores cumplen meta. Pendiente cerrar "&amp;MAX(0,(Datos!F45+Datos!F46+Datos!F47+Datos!F48)-(Datos!G45+Datos!G46+Datos!G47+Datos!G48))&amp;" pedidos.")</f>
        <v/>
      </c>
    </row>
    <row r="27" ht="15.75" customHeight="1" s="137">
      <c r="B27" s="156">
        <f>"★ Mejor asesor: "&amp;IF(ISNUMBER(VALUE(LEFT(INDEX(Datos!B45:B48,MATCH(MAX(Datos!D45:D48),Datos!D45:D48,0)),4))),MID(INDEX(Datos!B45:B48,MATCH(MAX(Datos!D45:D48),Datos!D45:D48,0)),6,100),INDEX(Datos!B45:B48,MATCH(MAX(Datos!D45:D48),Datos!D45:D48,0)))&amp;" con "&amp;TEXT(MAX(Datos!D45:D48),"$#,##0")&amp;" y "&amp;INDEX(Datos!G45:G48,MATCH(MAX(Datos!D45:D48),Datos!D45:D48,0))&amp;" facturas."</f>
        <v/>
      </c>
    </row>
    <row r="28" ht="15.75" customHeight="1" s="137">
      <c r="B28" s="153">
        <f>"⚠ Asesor con menor venta: "&amp;IF(ISNUMBER(VALUE(LEFT(INDEX(Datos!B45:B48,MATCH(MIN(Datos!D45:D48),Datos!D45:D48,0)),4))),MID(INDEX(Datos!B45:B48,MATCH(MIN(Datos!D45:D48),Datos!D45:D48,0)),6,100),INDEX(Datos!B45:B48,MATCH(MIN(Datos!D45:D48),Datos!D45:D48,0)))&amp;" con "&amp;TEXT(MIN(Datos!D45:D48),"$#,##0")&amp;" ("&amp;TEXT(MIN(Datos!E45:E48),"0.0%")&amp;" del ppto)."</f>
        <v/>
      </c>
    </row>
  </sheetData>
  <mergeCells count="24">
    <mergeCell ref="F11:G11"/>
    <mergeCell ref="B25:I25"/>
    <mergeCell ref="B16:I16"/>
    <mergeCell ref="B7:C9"/>
    <mergeCell ref="F6:G6"/>
    <mergeCell ref="B27:I27"/>
    <mergeCell ref="D6:E6"/>
    <mergeCell ref="F7:G9"/>
    <mergeCell ref="B12:C14"/>
    <mergeCell ref="H6:I6"/>
    <mergeCell ref="B11:C11"/>
    <mergeCell ref="D11:E11"/>
    <mergeCell ref="F12:G14"/>
    <mergeCell ref="B1:I3"/>
    <mergeCell ref="H11:I11"/>
    <mergeCell ref="D7:E9"/>
    <mergeCell ref="B28:I28"/>
    <mergeCell ref="B6:C6"/>
    <mergeCell ref="H7:I9"/>
    <mergeCell ref="D12:E14"/>
    <mergeCell ref="B24:I24"/>
    <mergeCell ref="H12:I14"/>
    <mergeCell ref="B4:I4"/>
    <mergeCell ref="B26:I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53"/>
  <sheetViews>
    <sheetView workbookViewId="0">
      <selection activeCell="A1" sqref="A1"/>
    </sheetView>
  </sheetViews>
  <sheetFormatPr baseColWidth="10" defaultColWidth="8.88671875" defaultRowHeight="14.4"/>
  <cols>
    <col width="3" customWidth="1" style="137" min="1" max="1"/>
    <col width="6" customWidth="1" style="137" min="2" max="2"/>
    <col width="30" customWidth="1" style="137" min="3" max="3"/>
    <col width="22" customWidth="1" style="137" min="4" max="4"/>
    <col width="16" customWidth="1" style="137" min="5" max="5"/>
    <col width="14" customWidth="1" style="137" min="6" max="6"/>
    <col width="12" customWidth="1" style="137" min="7" max="7"/>
    <col width="14" customWidth="1" style="137" min="8" max="9"/>
    <col width="3" customWidth="1" style="137" min="10" max="10"/>
  </cols>
  <sheetData>
    <row r="1">
      <c r="B1" s="154" t="inlineStr">
        <is>
          <t>RANKING DE ASESORES — VENTA DÍA</t>
        </is>
      </c>
    </row>
    <row r="2"/>
    <row r="3"/>
    <row r="4" ht="18" customHeight="1" s="137">
      <c r="B4" s="152" t="inlineStr">
        <is>
          <t>Clasificación por venta día · incluye posición, unidad de negocio y cumplimientos</t>
        </is>
      </c>
    </row>
    <row r="5" ht="19.5" customHeight="1" s="137">
      <c r="B5" s="145" t="inlineStr">
        <is>
          <t>Pos.</t>
        </is>
      </c>
      <c r="C5" s="145" t="inlineStr">
        <is>
          <t>Asesor</t>
        </is>
      </c>
      <c r="D5" s="145" t="inlineStr">
        <is>
          <t>Unidad de Negocio</t>
        </is>
      </c>
      <c r="E5" s="145" t="inlineStr">
        <is>
          <t>Venta Día ($)</t>
        </is>
      </c>
      <c r="F5" s="145" t="inlineStr">
        <is>
          <t>% Cumpl. Ppto</t>
        </is>
      </c>
      <c r="G5" s="145" t="inlineStr">
        <is>
          <t>Facturas</t>
        </is>
      </c>
      <c r="H5" s="145" t="inlineStr">
        <is>
          <t>% Cumpl. Plan</t>
        </is>
      </c>
      <c r="I5" s="145" t="inlineStr">
        <is>
          <t>Estado</t>
        </is>
      </c>
    </row>
    <row r="6" ht="15.75" customHeight="1" s="137">
      <c r="B6" s="123" t="inlineStr">
        <is>
          <t>🥇</t>
        </is>
      </c>
      <c r="C6" s="97" t="n"/>
      <c r="D6" s="97" t="n"/>
      <c r="E6" s="124" t="n"/>
      <c r="F6" s="212" t="n"/>
      <c r="G6" s="101" t="n"/>
      <c r="H6" s="212" t="n"/>
      <c r="I6" s="120" t="n"/>
    </row>
    <row r="7" ht="15.75" customHeight="1" s="137">
      <c r="B7" s="125" t="inlineStr">
        <is>
          <t>🥈</t>
        </is>
      </c>
      <c r="C7" s="102" t="n"/>
      <c r="D7" s="102" t="n"/>
      <c r="E7" s="126" t="n"/>
      <c r="F7" s="213" t="n"/>
      <c r="G7" s="106" t="n"/>
      <c r="H7" s="213" t="n"/>
      <c r="I7" s="121" t="n"/>
    </row>
    <row r="8" ht="15.75" customHeight="1" s="137">
      <c r="B8" s="123" t="inlineStr">
        <is>
          <t>🥉</t>
        </is>
      </c>
      <c r="C8" s="97" t="n"/>
      <c r="D8" s="97" t="n"/>
      <c r="E8" s="124" t="n"/>
      <c r="F8" s="212" t="n"/>
      <c r="G8" s="101" t="n"/>
      <c r="H8" s="212" t="n"/>
      <c r="I8" s="120" t="n"/>
    </row>
    <row r="9" ht="15.75" customHeight="1" s="137">
      <c r="B9" s="80" t="inlineStr">
        <is>
          <t>4°</t>
        </is>
      </c>
      <c r="C9" s="102" t="n"/>
      <c r="D9" s="102" t="n"/>
      <c r="E9" s="126" t="n"/>
      <c r="F9" s="213" t="n"/>
      <c r="G9" s="106" t="n"/>
      <c r="H9" s="213" t="n"/>
      <c r="I9" s="121" t="n"/>
    </row>
    <row r="10" ht="15.75" customHeight="1" s="137">
      <c r="B10" s="74" t="inlineStr">
        <is>
          <t>5°</t>
        </is>
      </c>
      <c r="C10" s="97" t="n"/>
      <c r="D10" s="97" t="n"/>
      <c r="E10" s="124" t="n"/>
      <c r="F10" s="212" t="n"/>
      <c r="G10" s="101" t="n"/>
      <c r="H10" s="212" t="n"/>
      <c r="I10" s="120" t="n"/>
    </row>
    <row r="11" ht="15.75" customHeight="1" s="137">
      <c r="B11" s="80" t="inlineStr">
        <is>
          <t>6°</t>
        </is>
      </c>
      <c r="C11" s="102" t="n"/>
      <c r="D11" s="102" t="n"/>
      <c r="E11" s="126" t="n"/>
      <c r="F11" s="213" t="n"/>
      <c r="G11" s="106" t="n"/>
      <c r="H11" s="213" t="n"/>
      <c r="I11" s="121" t="n"/>
    </row>
    <row r="12" ht="15.75" customHeight="1" s="137">
      <c r="B12" s="74" t="inlineStr">
        <is>
          <t>7°</t>
        </is>
      </c>
      <c r="C12" s="97" t="n"/>
      <c r="D12" s="97" t="n"/>
      <c r="E12" s="124" t="n"/>
      <c r="F12" s="212" t="n"/>
      <c r="G12" s="101" t="n"/>
      <c r="H12" s="212" t="n"/>
      <c r="I12" s="120" t="n"/>
    </row>
    <row r="13" ht="15.75" customHeight="1" s="137">
      <c r="B13" s="80" t="inlineStr">
        <is>
          <t>8°</t>
        </is>
      </c>
      <c r="C13" s="102" t="n"/>
      <c r="D13" s="102" t="n"/>
      <c r="E13" s="126" t="n"/>
      <c r="F13" s="213" t="n"/>
      <c r="G13" s="106" t="n"/>
      <c r="H13" s="213" t="n"/>
      <c r="I13" s="121" t="n"/>
    </row>
    <row r="14" ht="15.75" customHeight="1" s="137">
      <c r="B14" s="74" t="inlineStr">
        <is>
          <t>9°</t>
        </is>
      </c>
      <c r="C14" s="97" t="n"/>
      <c r="D14" s="97" t="n"/>
      <c r="E14" s="124" t="n"/>
      <c r="F14" s="212" t="n"/>
      <c r="G14" s="101" t="n"/>
      <c r="H14" s="212" t="n"/>
      <c r="I14" s="120" t="n"/>
    </row>
    <row r="15" ht="15.75" customHeight="1" s="137">
      <c r="B15" s="80" t="inlineStr">
        <is>
          <t>10°</t>
        </is>
      </c>
      <c r="C15" s="102" t="n"/>
      <c r="D15" s="102" t="n"/>
      <c r="E15" s="126" t="n"/>
      <c r="F15" s="213" t="n"/>
      <c r="G15" s="106" t="n"/>
      <c r="H15" s="213" t="n"/>
      <c r="I15" s="121" t="n"/>
    </row>
    <row r="16" ht="15.75" customHeight="1" s="137">
      <c r="B16" s="74" t="inlineStr">
        <is>
          <t>11°</t>
        </is>
      </c>
      <c r="C16" s="97" t="n"/>
      <c r="D16" s="97" t="n"/>
      <c r="E16" s="124" t="n"/>
      <c r="F16" s="212" t="n"/>
      <c r="G16" s="101" t="n"/>
      <c r="H16" s="212" t="n"/>
      <c r="I16" s="120" t="n"/>
    </row>
    <row r="17" ht="15.75" customHeight="1" s="137">
      <c r="B17" s="80" t="inlineStr">
        <is>
          <t>12°</t>
        </is>
      </c>
      <c r="C17" s="102" t="n"/>
      <c r="D17" s="102" t="n"/>
      <c r="E17" s="126" t="n"/>
      <c r="F17" s="213" t="n"/>
      <c r="G17" s="106" t="n"/>
      <c r="H17" s="213" t="n"/>
      <c r="I17" s="121" t="n"/>
    </row>
    <row r="18" ht="15.75" customHeight="1" s="137">
      <c r="B18" s="74" t="inlineStr">
        <is>
          <t>13°</t>
        </is>
      </c>
      <c r="C18" s="97" t="n"/>
      <c r="D18" s="97" t="n"/>
      <c r="E18" s="124" t="n"/>
      <c r="F18" s="212" t="n"/>
      <c r="G18" s="101" t="n"/>
      <c r="H18" s="212" t="n"/>
      <c r="I18" s="120" t="n"/>
    </row>
    <row r="19" ht="15.75" customHeight="1" s="137">
      <c r="B19" s="80" t="inlineStr">
        <is>
          <t>14°</t>
        </is>
      </c>
      <c r="C19" s="102" t="n"/>
      <c r="D19" s="102" t="n"/>
      <c r="E19" s="126" t="n"/>
      <c r="F19" s="213" t="n"/>
      <c r="G19" s="106" t="n"/>
      <c r="H19" s="213" t="n"/>
      <c r="I19" s="121" t="n"/>
    </row>
    <row r="20" ht="15.75" customHeight="1" s="137">
      <c r="B20" s="74" t="inlineStr">
        <is>
          <t>15°</t>
        </is>
      </c>
      <c r="C20" s="97" t="n"/>
      <c r="D20" s="97" t="n"/>
      <c r="E20" s="124" t="n"/>
      <c r="F20" s="212" t="n"/>
      <c r="G20" s="101" t="n"/>
      <c r="H20" s="212" t="n"/>
      <c r="I20" s="120" t="n"/>
    </row>
    <row r="21" ht="15.75" customHeight="1" s="137">
      <c r="B21" s="80" t="inlineStr">
        <is>
          <t>16°</t>
        </is>
      </c>
      <c r="C21" s="102" t="n"/>
      <c r="D21" s="102" t="n"/>
      <c r="E21" s="126" t="n"/>
      <c r="F21" s="213" t="n"/>
      <c r="G21" s="106" t="n"/>
      <c r="H21" s="213" t="n"/>
      <c r="I21" s="121" t="n"/>
    </row>
    <row r="22" ht="15.75" customHeight="1" s="137">
      <c r="B22" s="74" t="inlineStr">
        <is>
          <t>17°</t>
        </is>
      </c>
      <c r="C22" s="97" t="n"/>
      <c r="D22" s="97" t="n"/>
      <c r="E22" s="124" t="n"/>
      <c r="F22" s="212" t="n"/>
      <c r="G22" s="101" t="n"/>
      <c r="H22" s="212" t="n"/>
      <c r="I22" s="120" t="n"/>
    </row>
    <row r="23" ht="15.75" customHeight="1" s="137">
      <c r="B23" s="80" t="inlineStr">
        <is>
          <t>18°</t>
        </is>
      </c>
      <c r="C23" s="102" t="n"/>
      <c r="D23" s="102" t="n"/>
      <c r="E23" s="126" t="n"/>
      <c r="F23" s="213" t="n"/>
      <c r="G23" s="106" t="n"/>
      <c r="H23" s="213" t="n"/>
      <c r="I23" s="121" t="n"/>
    </row>
    <row r="24" ht="15.75" customHeight="1" s="137">
      <c r="B24" s="74" t="inlineStr">
        <is>
          <t>19°</t>
        </is>
      </c>
      <c r="C24" s="97" t="n"/>
      <c r="D24" s="97" t="n"/>
      <c r="E24" s="124" t="n"/>
      <c r="F24" s="212" t="n"/>
      <c r="G24" s="101" t="n"/>
      <c r="H24" s="212" t="n"/>
      <c r="I24" s="120" t="n"/>
    </row>
    <row r="25" ht="15.75" customHeight="1" s="137">
      <c r="B25" s="80" t="inlineStr">
        <is>
          <t>20°</t>
        </is>
      </c>
      <c r="C25" s="102" t="n"/>
      <c r="D25" s="102" t="n"/>
      <c r="E25" s="126" t="n"/>
      <c r="F25" s="213" t="n"/>
      <c r="G25" s="106" t="n"/>
      <c r="H25" s="213" t="n"/>
      <c r="I25" s="121" t="n"/>
    </row>
    <row r="26" ht="15.75" customHeight="1" s="137">
      <c r="B26" s="74" t="inlineStr">
        <is>
          <t>21°</t>
        </is>
      </c>
      <c r="C26" s="97" t="n"/>
      <c r="D26" s="97" t="n"/>
      <c r="E26" s="124" t="n"/>
      <c r="F26" s="212" t="n"/>
      <c r="G26" s="101" t="n"/>
      <c r="H26" s="212" t="n"/>
      <c r="I26" s="120" t="n"/>
    </row>
    <row r="27" ht="15.75" customHeight="1" s="137">
      <c r="B27" s="80" t="inlineStr">
        <is>
          <t>22°</t>
        </is>
      </c>
      <c r="C27" s="102" t="n"/>
      <c r="D27" s="102" t="n"/>
      <c r="E27" s="126" t="n"/>
      <c r="F27" s="213" t="n"/>
      <c r="G27" s="106" t="n"/>
      <c r="H27" s="213" t="n"/>
      <c r="I27" s="121" t="n"/>
    </row>
    <row r="28" ht="15.75" customHeight="1" s="137">
      <c r="B28" s="74" t="inlineStr">
        <is>
          <t>23°</t>
        </is>
      </c>
      <c r="C28" s="97" t="n"/>
      <c r="D28" s="97" t="n"/>
      <c r="E28" s="124" t="n"/>
      <c r="F28" s="212" t="n"/>
      <c r="G28" s="101" t="n"/>
      <c r="H28" s="212" t="n"/>
      <c r="I28" s="120" t="n"/>
    </row>
    <row r="29" ht="15.75" customHeight="1" s="137">
      <c r="B29" s="80" t="inlineStr">
        <is>
          <t>24°</t>
        </is>
      </c>
      <c r="C29" s="102" t="n"/>
      <c r="D29" s="102" t="n"/>
      <c r="E29" s="126" t="n"/>
      <c r="F29" s="213" t="n"/>
      <c r="G29" s="106" t="n"/>
      <c r="H29" s="213" t="n"/>
      <c r="I29" s="121" t="n"/>
    </row>
    <row r="30" ht="15.75" customHeight="1" s="137">
      <c r="B30" s="74" t="inlineStr">
        <is>
          <t>25°</t>
        </is>
      </c>
      <c r="C30" s="97" t="n"/>
      <c r="D30" s="97" t="n"/>
      <c r="E30" s="124" t="n"/>
      <c r="F30" s="212" t="n"/>
      <c r="G30" s="101" t="n"/>
      <c r="H30" s="212" t="n"/>
      <c r="I30" s="120" t="n"/>
    </row>
    <row r="31" ht="15.75" customHeight="1" s="137">
      <c r="B31" s="80" t="inlineStr">
        <is>
          <t>26°</t>
        </is>
      </c>
      <c r="C31" s="102" t="n"/>
      <c r="D31" s="102" t="n"/>
      <c r="E31" s="126" t="n"/>
      <c r="F31" s="213" t="n"/>
      <c r="G31" s="106" t="n"/>
      <c r="H31" s="213" t="n"/>
      <c r="I31" s="121" t="n"/>
    </row>
    <row r="32" ht="15.75" customHeight="1" s="137">
      <c r="B32" s="74" t="inlineStr">
        <is>
          <t>27°</t>
        </is>
      </c>
      <c r="C32" s="97" t="n"/>
      <c r="D32" s="97" t="n"/>
      <c r="E32" s="124" t="n"/>
      <c r="F32" s="212" t="n"/>
      <c r="G32" s="101" t="n"/>
      <c r="H32" s="212" t="n"/>
      <c r="I32" s="120" t="n"/>
    </row>
    <row r="33" ht="15.75" customHeight="1" s="137">
      <c r="B33" s="80" t="inlineStr">
        <is>
          <t>28°</t>
        </is>
      </c>
      <c r="C33" s="102" t="n"/>
      <c r="D33" s="102" t="n"/>
      <c r="E33" s="126" t="n"/>
      <c r="F33" s="213" t="n"/>
      <c r="G33" s="106" t="n"/>
      <c r="H33" s="213" t="n"/>
      <c r="I33" s="121" t="n"/>
    </row>
    <row r="34" ht="15.75" customHeight="1" s="137">
      <c r="B34" s="74" t="inlineStr">
        <is>
          <t>29°</t>
        </is>
      </c>
      <c r="C34" s="97" t="n"/>
      <c r="D34" s="97" t="n"/>
      <c r="E34" s="124" t="n"/>
      <c r="F34" s="212" t="n"/>
      <c r="G34" s="101" t="n"/>
      <c r="H34" s="212" t="n"/>
      <c r="I34" s="120" t="n"/>
    </row>
    <row r="35" ht="15.75" customHeight="1" s="137">
      <c r="B35" s="80" t="inlineStr">
        <is>
          <t>30°</t>
        </is>
      </c>
      <c r="C35" s="102" t="n"/>
      <c r="D35" s="102" t="n"/>
      <c r="E35" s="126" t="n"/>
      <c r="F35" s="213" t="n"/>
      <c r="G35" s="106" t="n"/>
      <c r="H35" s="213" t="n"/>
      <c r="I35" s="121" t="n"/>
    </row>
    <row r="36" ht="15.75" customHeight="1" s="137">
      <c r="B36" s="74" t="inlineStr">
        <is>
          <t>31°</t>
        </is>
      </c>
      <c r="C36" s="97" t="n"/>
      <c r="D36" s="97" t="n"/>
      <c r="E36" s="124" t="n"/>
      <c r="F36" s="212" t="n"/>
      <c r="G36" s="101" t="n"/>
      <c r="H36" s="212" t="n"/>
      <c r="I36" s="120" t="n"/>
    </row>
    <row r="37" ht="15.75" customHeight="1" s="137">
      <c r="B37" s="80" t="inlineStr">
        <is>
          <t>32°</t>
        </is>
      </c>
      <c r="C37" s="102" t="n"/>
      <c r="D37" s="102" t="n"/>
      <c r="E37" s="126" t="n"/>
      <c r="F37" s="213" t="n"/>
      <c r="G37" s="106" t="n"/>
      <c r="H37" s="213" t="n"/>
      <c r="I37" s="121" t="n"/>
    </row>
    <row r="38" ht="15.75" customHeight="1" s="137">
      <c r="B38" s="74" t="inlineStr">
        <is>
          <t>33°</t>
        </is>
      </c>
      <c r="C38" s="97" t="n"/>
      <c r="D38" s="97" t="n"/>
      <c r="E38" s="124" t="n"/>
      <c r="F38" s="212" t="n"/>
      <c r="G38" s="101" t="n"/>
      <c r="H38" s="212" t="n"/>
      <c r="I38" s="120" t="n"/>
    </row>
    <row r="39" ht="15.75" customHeight="1" s="137">
      <c r="B39" s="80" t="inlineStr">
        <is>
          <t>34°</t>
        </is>
      </c>
      <c r="C39" s="102" t="n"/>
      <c r="D39" s="102" t="n"/>
      <c r="E39" s="126" t="n"/>
      <c r="F39" s="213" t="n"/>
      <c r="G39" s="106" t="n"/>
      <c r="H39" s="213" t="n"/>
      <c r="I39" s="121" t="n"/>
    </row>
    <row r="40" ht="15.75" customHeight="1" s="137">
      <c r="B40" s="74" t="inlineStr">
        <is>
          <t>35°</t>
        </is>
      </c>
      <c r="C40" s="97" t="n"/>
      <c r="D40" s="97" t="n"/>
      <c r="E40" s="124" t="n"/>
      <c r="F40" s="212" t="n"/>
      <c r="G40" s="101" t="n"/>
      <c r="H40" s="212" t="n"/>
      <c r="I40" s="120" t="n"/>
    </row>
    <row r="41" ht="15.75" customHeight="1" s="137">
      <c r="B41" s="80" t="inlineStr">
        <is>
          <t>36°</t>
        </is>
      </c>
      <c r="C41" s="102" t="n"/>
      <c r="D41" s="102" t="n"/>
      <c r="E41" s="126" t="n"/>
      <c r="F41" s="213" t="n"/>
      <c r="G41" s="106" t="n"/>
      <c r="H41" s="213" t="n"/>
      <c r="I41" s="121" t="n"/>
    </row>
    <row r="42" ht="15.75" customHeight="1" s="137">
      <c r="B42" s="74" t="inlineStr">
        <is>
          <t>37°</t>
        </is>
      </c>
      <c r="C42" s="97" t="n"/>
      <c r="D42" s="97" t="n"/>
      <c r="E42" s="124" t="n"/>
      <c r="F42" s="212" t="n"/>
      <c r="G42" s="101" t="n"/>
      <c r="H42" s="212" t="n"/>
      <c r="I42" s="120" t="n"/>
    </row>
    <row r="43" ht="15.75" customHeight="1" s="137">
      <c r="B43" s="80" t="inlineStr">
        <is>
          <t>38°</t>
        </is>
      </c>
      <c r="C43" s="102" t="n"/>
      <c r="D43" s="102" t="n"/>
      <c r="E43" s="126" t="n"/>
      <c r="F43" s="213" t="n"/>
      <c r="G43" s="106" t="n"/>
      <c r="H43" s="213" t="n"/>
      <c r="I43" s="121" t="n"/>
    </row>
    <row r="44" ht="15.75" customHeight="1" s="137">
      <c r="B44" s="74" t="inlineStr">
        <is>
          <t>39°</t>
        </is>
      </c>
      <c r="C44" s="97" t="n"/>
      <c r="D44" s="97" t="n"/>
      <c r="E44" s="124" t="n"/>
      <c r="F44" s="212" t="n"/>
      <c r="G44" s="101" t="n"/>
      <c r="H44" s="212" t="n"/>
      <c r="I44" s="120" t="n"/>
    </row>
    <row r="45" ht="15.75" customHeight="1" s="137">
      <c r="B45" s="80" t="inlineStr">
        <is>
          <t>40°</t>
        </is>
      </c>
      <c r="C45" s="102" t="n"/>
      <c r="D45" s="102" t="n"/>
      <c r="E45" s="126" t="n"/>
      <c r="F45" s="213" t="n"/>
      <c r="G45" s="106" t="n"/>
      <c r="H45" s="213" t="n"/>
      <c r="I45" s="121" t="n"/>
    </row>
    <row r="46" ht="15.75" customHeight="1" s="137">
      <c r="B46" s="74" t="inlineStr">
        <is>
          <t>41°</t>
        </is>
      </c>
      <c r="C46" s="97" t="n"/>
      <c r="D46" s="97" t="n"/>
      <c r="E46" s="124" t="n"/>
      <c r="F46" s="212" t="n"/>
      <c r="G46" s="101" t="n"/>
      <c r="H46" s="212" t="n"/>
      <c r="I46" s="120" t="n"/>
    </row>
    <row r="47" ht="15.75" customHeight="1" s="137">
      <c r="B47" s="80" t="inlineStr">
        <is>
          <t>42°</t>
        </is>
      </c>
      <c r="C47" s="102" t="n"/>
      <c r="D47" s="102" t="n"/>
      <c r="E47" s="126" t="n"/>
      <c r="F47" s="213" t="n"/>
      <c r="G47" s="106" t="n"/>
      <c r="H47" s="213" t="n"/>
      <c r="I47" s="121" t="n"/>
    </row>
    <row r="48" ht="15.75" customHeight="1" s="137">
      <c r="B48" s="74" t="inlineStr">
        <is>
          <t>43°</t>
        </is>
      </c>
      <c r="C48" s="97" t="n"/>
      <c r="D48" s="97" t="n"/>
      <c r="E48" s="124" t="n"/>
      <c r="F48" s="212" t="n"/>
      <c r="G48" s="101" t="n"/>
      <c r="H48" s="212" t="n"/>
      <c r="I48" s="120" t="n"/>
    </row>
    <row r="49" ht="15.75" customHeight="1" s="137">
      <c r="B49" s="80" t="inlineStr">
        <is>
          <t>44°</t>
        </is>
      </c>
      <c r="C49" s="102" t="n"/>
      <c r="D49" s="102" t="n"/>
      <c r="E49" s="126" t="n"/>
      <c r="F49" s="213" t="n"/>
      <c r="G49" s="106" t="n"/>
      <c r="H49" s="213" t="n"/>
      <c r="I49" s="121" t="n"/>
    </row>
    <row r="50" ht="15.75" customHeight="1" s="137">
      <c r="B50" s="74" t="inlineStr">
        <is>
          <t>45°</t>
        </is>
      </c>
      <c r="C50" s="97" t="n"/>
      <c r="D50" s="97" t="n"/>
      <c r="E50" s="124" t="n"/>
      <c r="F50" s="212" t="n"/>
      <c r="G50" s="101" t="n"/>
      <c r="H50" s="212" t="n"/>
      <c r="I50" s="120" t="n"/>
    </row>
    <row r="51" ht="15.75" customHeight="1" s="137">
      <c r="B51" s="80" t="inlineStr">
        <is>
          <t>46°</t>
        </is>
      </c>
      <c r="C51" s="102" t="n"/>
      <c r="D51" s="102" t="n"/>
      <c r="E51" s="126" t="n"/>
      <c r="F51" s="213" t="n"/>
      <c r="G51" s="106" t="n"/>
      <c r="H51" s="213" t="n"/>
      <c r="I51" s="121" t="n"/>
    </row>
    <row r="52" ht="15.75" customHeight="1" s="137">
      <c r="B52" s="74" t="inlineStr">
        <is>
          <t>47°</t>
        </is>
      </c>
      <c r="C52" s="97" t="n"/>
      <c r="D52" s="97" t="n"/>
      <c r="E52" s="124" t="n"/>
      <c r="F52" s="212" t="n"/>
      <c r="G52" s="101" t="n"/>
      <c r="H52" s="212" t="n"/>
      <c r="I52" s="120" t="n"/>
    </row>
    <row r="53" ht="15.75" customHeight="1" s="137">
      <c r="B53" s="80" t="inlineStr">
        <is>
          <t>48°</t>
        </is>
      </c>
      <c r="C53" s="102" t="n"/>
      <c r="D53" s="102" t="n"/>
      <c r="E53" s="126" t="n"/>
      <c r="F53" s="213" t="n"/>
      <c r="G53" s="106" t="n"/>
      <c r="H53" s="213" t="n"/>
      <c r="I53" s="121" t="n"/>
    </row>
  </sheetData>
  <mergeCells count="2">
    <mergeCell ref="B4:I4"/>
    <mergeCell ref="B1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2026-03-23T16:35:32Z</dcterms:created>
  <dcterms:modified xsi:type="dcterms:W3CDTF">2026-06-01T16:25:24Z</dcterms:modified>
  <cp:lastModifiedBy>Nicolas Pabón</cp:lastModifiedBy>
</cp:coreProperties>
</file>